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Instrucciones" sheetId="2" r:id="rId6"/>
    <sheet name="TCO INICIAL" sheetId="3" r:id="rId7"/>
    <sheet name="TCO FINAL" sheetId="4" r:id="rId8"/>
    <sheet name="DATOS" sheetId="5" r:id="rId9"/>
  </sheets>
</workbook>
</file>

<file path=xl/comments1.xml><?xml version="1.0" encoding="utf-8"?>
<comments xmlns="http://schemas.openxmlformats.org/spreadsheetml/2006/main">
  <authors>
    <author>Ricoh Latin America</author>
  </authors>
  <commentList>
    <comment ref="H11" authorId="0">
      <text>
        <r>
          <rPr>
            <sz val="11"/>
            <color indexed="8"/>
            <rFont val="Helvetica Neue"/>
          </rPr>
          <t>Ricoh Latin America:
Tasa de financiamiento entregada por Patricio Fernandez</t>
        </r>
      </text>
    </comment>
  </commentList>
</comments>
</file>

<file path=xl/comments2.xml><?xml version="1.0" encoding="utf-8"?>
<comments xmlns="http://schemas.openxmlformats.org/spreadsheetml/2006/main">
  <authors>
    <author>Ricoh Latin America</author>
  </authors>
  <commentList>
    <comment ref="H11" authorId="0">
      <text>
        <r>
          <rPr>
            <sz val="11"/>
            <color indexed="8"/>
            <rFont val="Helvetica Neue"/>
          </rPr>
          <t>Ricoh Latin America:
Tasa de financiamiento entregada por Patricio Fernandez</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<sst xmlns="http://schemas.openxmlformats.org/spreadsheetml/2006/main" uniqueCount="94">
  <si>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</si>
  <si>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</si>
  <si>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</si>
  <si>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</si>
  <si>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Instrucciones</t>
  </si>
  <si>
    <t>Table 1</t>
  </si>
  <si>
    <t>1. Agregar formato a las celdas: Formato de fuentes (letras), Colores y Bordes (Tabla)</t>
  </si>
  <si>
    <t>2. Completar información de la tabla superior</t>
  </si>
  <si>
    <t>3. Completar las siguientes columnas con fórmulas</t>
  </si>
  <si>
    <t>Precio c/ Descuento</t>
  </si>
  <si>
    <t>Price List - PriceList * Descuento aplicado</t>
  </si>
  <si>
    <t>Descuento aplicado</t>
  </si>
  <si>
    <t>Se ingresa el dato manual</t>
  </si>
  <si>
    <t>T/C</t>
  </si>
  <si>
    <t>Hacer referencia fija a dato respectivo</t>
  </si>
  <si>
    <t>UF</t>
  </si>
  <si>
    <t>Factor</t>
  </si>
  <si>
    <t>Cargo Fijo Unit</t>
  </si>
  <si>
    <t>("Precio c/ Descuento" * "T/C" / "UF") * Factor</t>
  </si>
  <si>
    <t>CFTotal</t>
  </si>
  <si>
    <t>Cargo Fijo Unit * Qty</t>
  </si>
  <si>
    <t>Total en USD</t>
  </si>
  <si>
    <t>Precio c/ Descuento * Qty</t>
  </si>
  <si>
    <t>Total en CL$</t>
  </si>
  <si>
    <t>Total en USD * T/C</t>
  </si>
  <si>
    <t>4. Completar tabla resumen</t>
  </si>
  <si>
    <t>5. Agregar nuevos productos usando los productos de la hoja "DATOS"</t>
  </si>
  <si>
    <t>TCO INICIAL</t>
  </si>
  <si>
    <t>Plantilla Pricing &amp; TCO - Ricoh Chile</t>
  </si>
  <si>
    <t>Cliente (completar - Mandatorio)</t>
  </si>
  <si>
    <t>Consultor de Ventas</t>
  </si>
  <si>
    <t>Solutions Specialist o Ingeniero de Soluciones</t>
  </si>
  <si>
    <t>Fecha de confección de file original</t>
  </si>
  <si>
    <t>Versión actual</t>
  </si>
  <si>
    <t>Fecha última actualización</t>
  </si>
  <si>
    <t>Actualizado por</t>
  </si>
  <si>
    <t>UF:</t>
  </si>
  <si>
    <t>Plazo</t>
  </si>
  <si>
    <t>USD</t>
  </si>
  <si>
    <t>Type of Contract</t>
  </si>
  <si>
    <t>Factor Financiamiento</t>
  </si>
  <si>
    <t>Pricing</t>
  </si>
  <si>
    <t>TDV Mensual (minimo)/Máx. Mono</t>
  </si>
  <si>
    <t>TDV Mensual (minimo)/Máx. Color</t>
  </si>
  <si>
    <t>Approval Date</t>
  </si>
  <si>
    <t>Implementation</t>
  </si>
  <si>
    <t>Proposal Presentation</t>
  </si>
  <si>
    <t>Service Required mono</t>
  </si>
  <si>
    <t>Service Required Color</t>
  </si>
  <si>
    <t>Part Number</t>
  </si>
  <si>
    <t>Description</t>
  </si>
  <si>
    <t>Qty</t>
  </si>
  <si>
    <t>Price List</t>
  </si>
  <si>
    <t>IM 460F</t>
  </si>
  <si>
    <t xml:space="preserve">	Unidad de interfaz IEEE 802.11a/b/g/n tipo M54</t>
  </si>
  <si>
    <t>1647/00</t>
  </si>
  <si>
    <t>Cabinet</t>
  </si>
  <si>
    <t>TOTAL UF:</t>
  </si>
  <si>
    <t>TOTAL CLP:</t>
  </si>
  <si>
    <t>TOTAL DRS:</t>
  </si>
  <si>
    <t>U.F.</t>
  </si>
  <si>
    <t>CL$</t>
  </si>
  <si>
    <t>Cargo Fijo</t>
  </si>
  <si>
    <t>Variable M</t>
  </si>
  <si>
    <t>Variable C</t>
  </si>
  <si>
    <t>Total</t>
  </si>
  <si>
    <t>VP</t>
  </si>
  <si>
    <t>TCO FINAL</t>
  </si>
  <si>
    <t>CLIENTE</t>
  </si>
  <si>
    <t>CRISTIAN MOLINA</t>
  </si>
  <si>
    <t>V1</t>
  </si>
  <si>
    <t>36 MESES</t>
  </si>
  <si>
    <t>CONTRATO DE ARRIENDO RENTAL</t>
  </si>
  <si>
    <t>SI</t>
  </si>
  <si>
    <t>DATOS</t>
  </si>
  <si>
    <t>Paper Feed Unit PB1200</t>
  </si>
  <si>
    <t>IM C400F (220V)</t>
  </si>
  <si>
    <t>Paper Feed Unit PB1170</t>
  </si>
  <si>
    <t>1688/20</t>
  </si>
  <si>
    <t>Medium Cabinet for IM C300/400</t>
  </si>
  <si>
    <t>RSS-2YR</t>
  </si>
  <si>
    <t>software Smart Suite</t>
  </si>
  <si>
    <t>PS-INST-RSI</t>
  </si>
  <si>
    <t>Implementación de Accounting</t>
  </si>
  <si>
    <t>PS-PROJECTMANAGE-OM</t>
  </si>
  <si>
    <t>Project Management for OP Projects</t>
  </si>
  <si>
    <t>TS-SERVICE-LBR</t>
  </si>
  <si>
    <t>Implementación Impresoras</t>
  </si>
  <si>
    <t>TS-SERVICE-HW</t>
  </si>
  <si>
    <t>Logística Impresoras</t>
  </si>
  <si>
    <t>Logística inversa Impresoras</t>
  </si>
  <si>
    <t>Provisión de cables UTP Cat6 3mts</t>
  </si>
  <si>
    <t>Provisión de cables Magic</t>
  </si>
  <si>
    <t>SDM</t>
  </si>
</sst>
</file>

<file path=xl/styles.xml><?xml version="1.0" encoding="utf-8"?>
<styleSheet xmlns="http://schemas.openxmlformats.org/spreadsheetml/2006/main">
  <numFmts count="13">
    <numFmt numFmtId="0" formatCode="General"/>
    <numFmt numFmtId="59" formatCode="&quot; &quot;* #,##0&quot; &quot;;&quot; &quot;* &quot;-&quot;#,##0&quot; &quot;;&quot; &quot;* &quot;- &quot;"/>
    <numFmt numFmtId="60" formatCode="&quot; &quot;* #,##0.00&quot; &quot;;&quot; &quot;* &quot;-&quot;#,##0.00&quot; &quot;;&quot; &quot;* &quot;- &quot;"/>
    <numFmt numFmtId="61" formatCode="&quot; &quot;&quot;$&quot;* #,##0&quot; &quot;;&quot; &quot;&quot;$&quot;* &quot;-&quot;#,##0&quot; &quot;;&quot; &quot;&quot;$&quot;* &quot;- &quot;"/>
    <numFmt numFmtId="62" formatCode="&quot; &quot;&quot;$&quot;* #,##0.0&quot; &quot;;&quot; &quot;&quot;$&quot;* &quot;-&quot;#,##0.0&quot; &quot;;&quot; &quot;&quot;$&quot;* &quot;- &quot;"/>
    <numFmt numFmtId="63" formatCode="0.00000"/>
    <numFmt numFmtId="64" formatCode="&quot; &quot;&quot;$&quot;&quot; &quot;* #,##0.00&quot; &quot;;&quot;-&quot;&quot;$&quot;&quot; &quot;* #,##0.00&quot; &quot;;&quot; &quot;&quot;$&quot;&quot; &quot;* &quot;-&quot;??&quot; &quot;"/>
    <numFmt numFmtId="65" formatCode="#,##0.0"/>
    <numFmt numFmtId="66" formatCode="#,##0.0000"/>
    <numFmt numFmtId="67" formatCode="#,##0.00&quot; &quot;;&quot;-&quot;#,##0.00&quot; &quot;"/>
    <numFmt numFmtId="68" formatCode="#,##0.00000"/>
    <numFmt numFmtId="69" formatCode="&quot; &quot;&quot;$&quot;&quot; &quot;* #,##0&quot; &quot;;&quot;-&quot;&quot;$&quot;&quot; &quot;* #,##0&quot; &quot;;&quot; &quot;&quot;$&quot;&quot; &quot;* &quot;- &quot;"/>
    <numFmt numFmtId="70" formatCode="&quot; &quot;[$$-409]&quot; &quot;* #,##0.00&quot; &quot;;&quot;-&quot;[$$-409]&quot; &quot;* #,##0.00&quot; &quot;;&quot; &quot;[$$-409]&quot; &quot;* &quot;- &quot;"/>
  </numFmts>
  <fonts count="15">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u val="single"/>
      <sz val="14"/>
      <color indexed="8"/>
      <name val="Arial"/>
    </font>
    <font>
      <sz val="9"/>
      <color indexed="8"/>
      <name val="Arial"/>
    </font>
    <font>
      <b val="1"/>
      <sz val="9"/>
      <color indexed="8"/>
      <name val="Arial"/>
    </font>
    <font>
      <b val="1"/>
      <sz val="12"/>
      <color indexed="8"/>
      <name val="Arial"/>
    </font>
    <font>
      <sz val="11"/>
      <color indexed="8"/>
      <name val="Helvetica Neue"/>
    </font>
    <font>
      <sz val="12"/>
      <color indexed="8"/>
      <name val="Times New Roman"/>
    </font>
    <font>
      <b val="1"/>
      <sz val="20"/>
      <color indexed="8"/>
      <name val="Arial"/>
    </font>
    <font>
      <b val="1"/>
      <sz val="12"/>
      <color indexed="13"/>
      <name val="Arial"/>
    </font>
    <font>
      <b val="1"/>
      <sz val="11"/>
      <color indexed="8"/>
      <name val="Arial"/>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44">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right/>
      <top/>
      <bottom style="thin">
        <color indexed="8"/>
      </bottom>
      <diagonal/>
    </border>
    <border>
      <left style="thin">
        <color indexed="12"/>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12"/>
      </bottom>
      <diagonal/>
    </border>
    <border>
      <left style="thin">
        <color indexed="8"/>
      </left>
      <right style="thin">
        <color indexed="8"/>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12"/>
      </right>
      <top style="thin">
        <color indexed="12"/>
      </top>
      <bottom style="medium">
        <color indexed="8"/>
      </bottom>
      <diagonal/>
    </border>
    <border>
      <left style="thin">
        <color indexed="12"/>
      </left>
      <right style="medium">
        <color indexed="8"/>
      </right>
      <top style="thin">
        <color indexed="12"/>
      </top>
      <bottom style="thin">
        <color indexed="12"/>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2"/>
      </left>
      <right style="thin">
        <color indexed="12"/>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medium">
        <color indexed="8"/>
      </left>
      <right style="thin">
        <color indexed="8"/>
      </right>
      <top style="thin">
        <color indexed="12"/>
      </top>
      <bottom style="thin">
        <color indexed="12"/>
      </bottom>
      <diagonal/>
    </border>
    <border>
      <left style="medium">
        <color indexed="8"/>
      </left>
      <right style="medium">
        <color indexed="8"/>
      </right>
      <top style="thin">
        <color indexed="8"/>
      </top>
      <bottom style="thin">
        <color indexed="8"/>
      </bottom>
      <diagonal/>
    </border>
    <border>
      <left style="thin">
        <color indexed="12"/>
      </left>
      <right style="medium">
        <color indexed="8"/>
      </right>
      <top style="thin">
        <color indexed="8"/>
      </top>
      <bottom style="thin">
        <color indexed="12"/>
      </bottom>
      <diagonal/>
    </border>
    <border>
      <left style="medium">
        <color indexed="8"/>
      </left>
      <right style="thin">
        <color indexed="12"/>
      </right>
      <top style="thin">
        <color indexed="8"/>
      </top>
      <bottom style="thin">
        <color indexed="12"/>
      </bottom>
      <diagonal/>
    </border>
    <border>
      <left style="thin">
        <color indexed="12"/>
      </left>
      <right style="thin">
        <color indexed="12"/>
      </right>
      <top style="medium">
        <color indexed="8"/>
      </top>
      <bottom style="thin">
        <color indexed="12"/>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17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0" borderId="5" applyNumberFormat="1" applyFont="1" applyFill="0" applyBorder="1" applyAlignment="1" applyProtection="0">
      <alignment vertical="bottom"/>
    </xf>
    <xf numFmtId="49" fontId="0" borderId="7" applyNumberFormat="1" applyFont="1" applyFill="0" applyBorder="1" applyAlignment="1" applyProtection="0">
      <alignment vertical="bottom"/>
    </xf>
    <xf numFmtId="0" fontId="0" borderId="8" applyNumberFormat="0" applyFont="1" applyFill="0" applyBorder="1" applyAlignment="1" applyProtection="0">
      <alignment vertical="bottom"/>
    </xf>
    <xf numFmtId="49" fontId="1" fillId="4" borderId="9" applyNumberFormat="1" applyFont="1" applyFill="1" applyBorder="1" applyAlignment="1" applyProtection="0">
      <alignment horizontal="center" vertical="center" wrapText="1"/>
    </xf>
    <xf numFmtId="49" fontId="0" borderId="10"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0" borderId="13" applyNumberFormat="1"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5" applyNumberFormat="0" applyFont="1" applyFill="0" applyBorder="1" applyAlignment="1" applyProtection="0">
      <alignment vertical="bottom"/>
    </xf>
    <xf numFmtId="49" fontId="1" borderId="15" applyNumberFormat="1" applyFont="1" applyFill="0" applyBorder="1" applyAlignment="1" applyProtection="0">
      <alignment vertical="bottom"/>
    </xf>
    <xf numFmtId="3" fontId="0" borderId="15" applyNumberFormat="1" applyFont="1" applyFill="0" applyBorder="1" applyAlignment="1" applyProtection="0">
      <alignment vertical="bottom"/>
    </xf>
    <xf numFmtId="1" fontId="0" borderId="15" applyNumberFormat="1" applyFont="1" applyFill="0" applyBorder="1" applyAlignment="1" applyProtection="0">
      <alignment vertical="bottom"/>
    </xf>
    <xf numFmtId="2" fontId="0" fillId="4" borderId="16" applyNumberFormat="1" applyFont="1" applyFill="1" applyBorder="1" applyAlignment="1" applyProtection="0">
      <alignment horizontal="left" vertical="top" wrapText="1"/>
    </xf>
    <xf numFmtId="0" fontId="0" borderId="16" applyNumberFormat="0" applyFont="1" applyFill="0" applyBorder="1" applyAlignment="1" applyProtection="0">
      <alignment horizontal="left" vertical="bottom"/>
    </xf>
    <xf numFmtId="0" fontId="0" borderId="15" applyNumberFormat="0" applyFont="1" applyFill="0" applyBorder="1" applyAlignment="1" applyProtection="0">
      <alignment horizontal="left" vertical="bottom"/>
    </xf>
    <xf numFmtId="3" fontId="0" borderId="15" applyNumberFormat="1" applyFont="1" applyFill="0" applyBorder="1" applyAlignment="1" applyProtection="0">
      <alignment horizontal="left" vertical="bottom"/>
    </xf>
    <xf numFmtId="1" fontId="0" borderId="15" applyNumberFormat="1" applyFont="1" applyFill="0" applyBorder="1" applyAlignment="1" applyProtection="0">
      <alignment horizontal="left" vertical="bottom"/>
    </xf>
    <xf numFmtId="3" fontId="7" borderId="15" applyNumberFormat="1" applyFont="1" applyFill="0" applyBorder="1" applyAlignment="1" applyProtection="0">
      <alignment vertical="bottom"/>
    </xf>
    <xf numFmtId="59" fontId="8" borderId="15" applyNumberFormat="1" applyFont="1" applyFill="0" applyBorder="1" applyAlignment="1" applyProtection="0">
      <alignment vertical="bottom"/>
    </xf>
    <xf numFmtId="0" fontId="7" borderId="15" applyNumberFormat="0" applyFont="1" applyFill="0" applyBorder="1" applyAlignment="1" applyProtection="0">
      <alignment vertical="bottom"/>
    </xf>
    <xf numFmtId="0" fontId="0" borderId="17" applyNumberFormat="0" applyFont="1" applyFill="0" applyBorder="1" applyAlignment="1" applyProtection="0">
      <alignment vertical="bottom"/>
    </xf>
    <xf numFmtId="49" fontId="1" borderId="9" applyNumberFormat="1" applyFont="1" applyFill="0" applyBorder="1" applyAlignment="1" applyProtection="0">
      <alignment vertical="bottom"/>
    </xf>
    <xf numFmtId="0" fontId="1" borderId="9" applyNumberFormat="0" applyFont="1" applyFill="0" applyBorder="1" applyAlignment="1" applyProtection="0">
      <alignment vertical="bottom"/>
    </xf>
    <xf numFmtId="0" fontId="1" borderId="18" applyNumberFormat="0" applyFont="1" applyFill="0" applyBorder="1" applyAlignment="1" applyProtection="0">
      <alignment vertical="bottom"/>
    </xf>
    <xf numFmtId="3" fontId="1" borderId="15" applyNumberFormat="1" applyFont="1" applyFill="0" applyBorder="1" applyAlignment="1" applyProtection="0">
      <alignment horizontal="left" vertical="bottom"/>
    </xf>
    <xf numFmtId="1" fontId="1" borderId="15" applyNumberFormat="1" applyFont="1" applyFill="0" applyBorder="1" applyAlignment="1" applyProtection="0">
      <alignment vertical="bottom"/>
    </xf>
    <xf numFmtId="0" fontId="1" borderId="15" applyNumberFormat="0" applyFont="1" applyFill="0" applyBorder="1" applyAlignment="1" applyProtection="0">
      <alignment vertical="bottom"/>
    </xf>
    <xf numFmtId="59" fontId="9" borderId="15" applyNumberFormat="1" applyFont="1" applyFill="0" applyBorder="1" applyAlignment="1" applyProtection="0">
      <alignment vertical="bottom"/>
    </xf>
    <xf numFmtId="0" fontId="1" borderId="9" applyNumberFormat="0" applyFont="1" applyFill="0" applyBorder="1" applyAlignment="1" applyProtection="0">
      <alignment horizontal="left" vertical="bottom"/>
    </xf>
    <xf numFmtId="1" fontId="1" borderId="15" applyNumberFormat="1" applyFont="1" applyFill="0" applyBorder="1" applyAlignment="1" applyProtection="0">
      <alignment horizontal="left" vertical="bottom"/>
    </xf>
    <xf numFmtId="4" fontId="1" borderId="15" applyNumberFormat="1" applyFont="1" applyFill="0" applyBorder="1" applyAlignment="1" applyProtection="0">
      <alignment vertical="bottom"/>
    </xf>
    <xf numFmtId="0" fontId="1" borderId="15" applyNumberFormat="0" applyFont="1" applyFill="0" applyBorder="1" applyAlignment="1" applyProtection="0">
      <alignment horizontal="left" vertical="bottom"/>
    </xf>
    <xf numFmtId="14" fontId="1" borderId="9" applyNumberFormat="1" applyFont="1" applyFill="0" applyBorder="1" applyAlignment="1" applyProtection="0">
      <alignment horizontal="left" vertical="bottom"/>
    </xf>
    <xf numFmtId="60" fontId="9" borderId="15" applyNumberFormat="1" applyFont="1" applyFill="0" applyBorder="1" applyAlignment="1" applyProtection="0">
      <alignment vertical="bottom"/>
    </xf>
    <xf numFmtId="61" fontId="1" borderId="15" applyNumberFormat="1" applyFont="1" applyFill="0" applyBorder="1" applyAlignment="1" applyProtection="0">
      <alignment vertical="bottom"/>
    </xf>
    <xf numFmtId="16" fontId="1" borderId="9" applyNumberFormat="1" applyFont="1" applyFill="0" applyBorder="1" applyAlignment="1" applyProtection="0">
      <alignment horizontal="left" vertical="bottom"/>
    </xf>
    <xf numFmtId="3" fontId="9" borderId="16" applyNumberFormat="1" applyFont="1" applyFill="0" applyBorder="1" applyAlignment="1" applyProtection="0">
      <alignment horizontal="center" vertical="bottom"/>
    </xf>
    <xf numFmtId="1" fontId="1" borderId="16" applyNumberFormat="1" applyFont="1" applyFill="0" applyBorder="1" applyAlignment="1" applyProtection="0">
      <alignment vertical="bottom"/>
    </xf>
    <xf numFmtId="0" fontId="9" borderId="15" applyNumberFormat="0" applyFont="1" applyFill="0" applyBorder="1" applyAlignment="1" applyProtection="0">
      <alignment vertical="bottom"/>
    </xf>
    <xf numFmtId="0" fontId="1" borderId="19" applyNumberFormat="0" applyFont="1" applyFill="0" applyBorder="1" applyAlignment="1" applyProtection="0">
      <alignment vertical="bottom"/>
    </xf>
    <xf numFmtId="4" fontId="1" borderId="9" applyNumberFormat="1" applyFont="1" applyFill="0" applyBorder="1" applyAlignment="1" applyProtection="0">
      <alignment vertical="bottom"/>
    </xf>
    <xf numFmtId="2" fontId="1" borderId="18" applyNumberFormat="1" applyFont="1" applyFill="0" applyBorder="1" applyAlignment="1" applyProtection="0">
      <alignment vertical="bottom"/>
    </xf>
    <xf numFmtId="0" fontId="1" borderId="9" applyNumberFormat="1" applyFont="1" applyFill="0" applyBorder="1" applyAlignment="1" applyProtection="0">
      <alignment vertical="bottom"/>
    </xf>
    <xf numFmtId="61" fontId="1" borderId="18" applyNumberFormat="1" applyFont="1" applyFill="0" applyBorder="1" applyAlignment="1" applyProtection="0">
      <alignment vertical="bottom"/>
    </xf>
    <xf numFmtId="1" fontId="1" borderId="9" applyNumberFormat="1" applyFont="1" applyFill="0" applyBorder="1" applyAlignment="1" applyProtection="0">
      <alignment horizontal="left" vertical="bottom"/>
    </xf>
    <xf numFmtId="3" fontId="1" borderId="20" applyNumberFormat="1" applyFont="1" applyFill="0" applyBorder="1" applyAlignment="1" applyProtection="0">
      <alignment vertical="bottom"/>
    </xf>
    <xf numFmtId="1" fontId="1" borderId="20" applyNumberFormat="1" applyFont="1" applyFill="0" applyBorder="1" applyAlignment="1" applyProtection="0">
      <alignment vertical="bottom"/>
    </xf>
    <xf numFmtId="3" fontId="1" borderId="15" applyNumberFormat="1" applyFont="1" applyFill="0" applyBorder="1" applyAlignment="1" applyProtection="0">
      <alignment vertical="bottom"/>
    </xf>
    <xf numFmtId="2" fontId="1" borderId="15" applyNumberFormat="1" applyFont="1" applyFill="0" applyBorder="1" applyAlignment="1" applyProtection="0">
      <alignment vertical="bottom"/>
    </xf>
    <xf numFmtId="62" fontId="1" fillId="4" borderId="15" applyNumberFormat="1" applyFont="1" applyFill="1" applyBorder="1" applyAlignment="1" applyProtection="0">
      <alignment horizontal="right" vertical="center"/>
    </xf>
    <xf numFmtId="0" fontId="1" borderId="16" applyNumberFormat="0" applyFont="1" applyFill="0" applyBorder="1" applyAlignment="1" applyProtection="0">
      <alignment vertical="bottom"/>
    </xf>
    <xf numFmtId="63" fontId="1" borderId="9" applyNumberFormat="1" applyFont="1" applyFill="0" applyBorder="1" applyAlignment="1" applyProtection="0">
      <alignment horizontal="left" vertical="bottom"/>
    </xf>
    <xf numFmtId="61" fontId="1" fillId="4" borderId="15" applyNumberFormat="1" applyFont="1" applyFill="1" applyBorder="1" applyAlignment="1" applyProtection="0">
      <alignment horizontal="right" vertical="center"/>
    </xf>
    <xf numFmtId="1" fontId="1" borderId="17" applyNumberFormat="1" applyFont="1" applyFill="0" applyBorder="1" applyAlignment="1" applyProtection="0">
      <alignment vertical="bottom"/>
    </xf>
    <xf numFmtId="2" fontId="1" borderId="9" applyNumberFormat="1" applyFont="1" applyFill="0" applyBorder="1" applyAlignment="1" applyProtection="0">
      <alignment vertical="bottom"/>
    </xf>
    <xf numFmtId="0" fontId="11" fillId="4" borderId="18" applyNumberFormat="0" applyFont="1" applyFill="1" applyBorder="1" applyAlignment="1" applyProtection="0">
      <alignment vertical="top" wrapText="1"/>
    </xf>
    <xf numFmtId="1" fontId="9" borderId="15" applyNumberFormat="1" applyFont="1" applyFill="0" applyBorder="1" applyAlignment="1" applyProtection="0">
      <alignment horizontal="center" vertical="bottom"/>
    </xf>
    <xf numFmtId="0" fontId="11" fillId="4" borderId="20" applyNumberFormat="0" applyFont="1" applyFill="1" applyBorder="1" applyAlignment="1" applyProtection="0">
      <alignment horizontal="center" vertical="top" wrapText="1"/>
    </xf>
    <xf numFmtId="0" fontId="11" fillId="4" borderId="15" applyNumberFormat="0" applyFont="1" applyFill="1" applyBorder="1" applyAlignment="1" applyProtection="0">
      <alignment vertical="top" wrapText="1"/>
    </xf>
    <xf numFmtId="0" fontId="1" borderId="21" applyNumberFormat="0" applyFont="1" applyFill="0" applyBorder="1" applyAlignment="1" applyProtection="0">
      <alignment vertical="bottom"/>
    </xf>
    <xf numFmtId="3" fontId="1" borderId="16" applyNumberFormat="1" applyFont="1" applyFill="0" applyBorder="1" applyAlignment="1" applyProtection="0">
      <alignment vertical="bottom"/>
    </xf>
    <xf numFmtId="1" fontId="9" borderId="16" applyNumberFormat="1" applyFont="1" applyFill="0" applyBorder="1" applyAlignment="1" applyProtection="0">
      <alignment horizontal="center" vertical="bottom"/>
    </xf>
    <xf numFmtId="10" fontId="9" borderId="16" applyNumberFormat="1" applyFont="1" applyFill="0" applyBorder="1" applyAlignment="1" applyProtection="0">
      <alignment horizontal="center" vertical="bottom"/>
    </xf>
    <xf numFmtId="0" fontId="11" fillId="4" borderId="16" applyNumberFormat="0" applyFont="1" applyFill="1" applyBorder="1" applyAlignment="1" applyProtection="0">
      <alignment horizontal="center" vertical="top" wrapText="1"/>
    </xf>
    <xf numFmtId="0" fontId="11" fillId="4" borderId="16" applyNumberFormat="0" applyFont="1" applyFill="1" applyBorder="1" applyAlignment="1" applyProtection="0">
      <alignment vertical="top" wrapText="1"/>
    </xf>
    <xf numFmtId="0" fontId="9" borderId="16" applyNumberFormat="0" applyFont="1" applyFill="0" applyBorder="1" applyAlignment="1" applyProtection="0">
      <alignment vertical="bottom"/>
    </xf>
    <xf numFmtId="0" fontId="1" borderId="9" applyNumberFormat="1" applyFont="1" applyFill="0" applyBorder="1" applyAlignment="1" applyProtection="0">
      <alignment horizontal="left" vertical="bottom"/>
    </xf>
    <xf numFmtId="49" fontId="1" borderId="9" applyNumberFormat="1" applyFont="1" applyFill="0" applyBorder="1" applyAlignment="1" applyProtection="0">
      <alignment horizontal="left" vertical="bottom"/>
    </xf>
    <xf numFmtId="0" fontId="1" borderId="9" applyNumberFormat="1" applyFont="1" applyFill="0" applyBorder="1" applyAlignment="1" applyProtection="0">
      <alignment horizontal="center" vertical="bottom"/>
    </xf>
    <xf numFmtId="64" fontId="1" borderId="9" applyNumberFormat="1" applyFont="1" applyFill="0" applyBorder="1" applyAlignment="1" applyProtection="0">
      <alignment horizontal="right" vertical="bottom"/>
    </xf>
    <xf numFmtId="65" fontId="1" borderId="9" applyNumberFormat="1" applyFont="1" applyFill="0" applyBorder="1" applyAlignment="1" applyProtection="0">
      <alignment vertical="bottom"/>
    </xf>
    <xf numFmtId="10" fontId="1" borderId="9" applyNumberFormat="1" applyFont="1" applyFill="0" applyBorder="1" applyAlignment="1" applyProtection="0">
      <alignment vertical="bottom"/>
    </xf>
    <xf numFmtId="4" fontId="1" borderId="9" applyNumberFormat="1" applyFont="1" applyFill="0" applyBorder="1" applyAlignment="1" applyProtection="0">
      <alignment horizontal="right" vertical="bottom"/>
    </xf>
    <xf numFmtId="63" fontId="1" borderId="9" applyNumberFormat="1" applyFont="1" applyFill="0" applyBorder="1" applyAlignment="1" applyProtection="0">
      <alignment vertical="bottom"/>
    </xf>
    <xf numFmtId="3" fontId="1" borderId="9" applyNumberFormat="1" applyFont="1" applyFill="0" applyBorder="1" applyAlignment="1" applyProtection="0">
      <alignment vertical="bottom"/>
    </xf>
    <xf numFmtId="0" fontId="0" borderId="20" applyNumberFormat="0" applyFont="1" applyFill="0" applyBorder="1" applyAlignment="1" applyProtection="0">
      <alignment vertical="bottom"/>
    </xf>
    <xf numFmtId="1" fontId="1" borderId="22" applyNumberFormat="1" applyFont="1" applyFill="0" applyBorder="1" applyAlignment="1" applyProtection="0">
      <alignment vertical="bottom"/>
    </xf>
    <xf numFmtId="49" fontId="1" borderId="9" applyNumberFormat="1" applyFont="1" applyFill="0" applyBorder="1" applyAlignment="1" applyProtection="0">
      <alignment horizontal="right" vertical="bottom"/>
    </xf>
    <xf numFmtId="0" fontId="0" borderId="23" applyNumberFormat="0" applyFont="1" applyFill="0" applyBorder="1" applyAlignment="1" applyProtection="0">
      <alignment vertical="bottom"/>
    </xf>
    <xf numFmtId="3" fontId="1" borderId="17" applyNumberFormat="1" applyFont="1" applyFill="0" applyBorder="1" applyAlignment="1" applyProtection="0">
      <alignment vertical="bottom"/>
    </xf>
    <xf numFmtId="61" fontId="1" borderId="9" applyNumberFormat="1" applyFont="1" applyFill="0" applyBorder="1" applyAlignment="1" applyProtection="0">
      <alignment vertical="bottom"/>
    </xf>
    <xf numFmtId="0" fontId="0" borderId="18" applyNumberFormat="0" applyFont="1" applyFill="0" applyBorder="1" applyAlignment="1" applyProtection="0">
      <alignment vertical="bottom"/>
    </xf>
    <xf numFmtId="0" fontId="1" borderId="20" applyNumberFormat="0" applyFont="1" applyFill="0" applyBorder="1" applyAlignment="1" applyProtection="0">
      <alignment vertical="bottom"/>
    </xf>
    <xf numFmtId="1" fontId="1" borderId="24" applyNumberFormat="1" applyFont="1" applyFill="0" applyBorder="1" applyAlignment="1" applyProtection="0">
      <alignment vertical="bottom"/>
    </xf>
    <xf numFmtId="0" fontId="1"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2" fontId="1" borderId="26" applyNumberFormat="1" applyFont="1" applyFill="0" applyBorder="1" applyAlignment="1" applyProtection="0">
      <alignment vertical="bottom"/>
    </xf>
    <xf numFmtId="49" fontId="1" borderId="27" applyNumberFormat="1" applyFont="1" applyFill="0" applyBorder="1" applyAlignment="1" applyProtection="0">
      <alignment horizontal="center" vertical="bottom"/>
    </xf>
    <xf numFmtId="49" fontId="1" borderId="28" applyNumberFormat="1" applyFont="1" applyFill="0" applyBorder="1" applyAlignment="1" applyProtection="0">
      <alignment horizontal="center" vertical="bottom"/>
    </xf>
    <xf numFmtId="0" fontId="0" borderId="29" applyNumberFormat="0" applyFont="1" applyFill="0" applyBorder="1" applyAlignment="1" applyProtection="0">
      <alignment vertical="bottom"/>
    </xf>
    <xf numFmtId="49" fontId="1" fillId="4" borderId="30" applyNumberFormat="1" applyFont="1" applyFill="1" applyBorder="1" applyAlignment="1" applyProtection="0">
      <alignment vertical="bottom" wrapText="1"/>
    </xf>
    <xf numFmtId="66" fontId="1" borderId="9" applyNumberFormat="1" applyFont="1" applyFill="0" applyBorder="1" applyAlignment="1" applyProtection="0">
      <alignment vertical="bottom"/>
    </xf>
    <xf numFmtId="67" fontId="1" borderId="31" applyNumberFormat="1" applyFont="1" applyFill="0" applyBorder="1" applyAlignment="1" applyProtection="0">
      <alignment vertical="bottom"/>
    </xf>
    <xf numFmtId="68" fontId="1" borderId="9" applyNumberFormat="1" applyFont="1" applyFill="0" applyBorder="1" applyAlignment="1" applyProtection="0">
      <alignment vertical="bottom"/>
    </xf>
    <xf numFmtId="66" fontId="1" borderId="32" applyNumberFormat="1" applyFont="1" applyFill="0" applyBorder="1" applyAlignment="1" applyProtection="0">
      <alignment vertical="bottom"/>
    </xf>
    <xf numFmtId="3" fontId="1" borderId="32" applyNumberFormat="1" applyFont="1" applyFill="0" applyBorder="1" applyAlignment="1" applyProtection="0">
      <alignment vertical="bottom"/>
    </xf>
    <xf numFmtId="67" fontId="1" borderId="33" applyNumberFormat="1" applyFont="1" applyFill="0" applyBorder="1" applyAlignment="1" applyProtection="0">
      <alignment vertical="bottom"/>
    </xf>
    <xf numFmtId="0" fontId="1" borderId="34" applyNumberFormat="0" applyFont="1" applyFill="0" applyBorder="1" applyAlignment="1" applyProtection="0">
      <alignment vertical="bottom"/>
    </xf>
    <xf numFmtId="49" fontId="1" borderId="9" applyNumberFormat="1" applyFont="1" applyFill="0" applyBorder="1" applyAlignment="1" applyProtection="0">
      <alignment horizontal="center" vertical="bottom"/>
    </xf>
    <xf numFmtId="69" fontId="1" borderId="9" applyNumberFormat="1" applyFont="1" applyFill="0" applyBorder="1" applyAlignment="1" applyProtection="0">
      <alignment vertical="bottom"/>
    </xf>
    <xf numFmtId="70" fontId="1" borderId="9" applyNumberFormat="1" applyFont="1" applyFill="0" applyBorder="1" applyAlignment="1" applyProtection="0">
      <alignment vertical="bottom"/>
    </xf>
    <xf numFmtId="0" fontId="0" applyNumberFormat="1" applyFont="1" applyFill="0" applyBorder="0" applyAlignment="1" applyProtection="0">
      <alignment vertical="bottom"/>
    </xf>
    <xf numFmtId="49" fontId="12" borderId="15" applyNumberFormat="1" applyFont="1" applyFill="0" applyBorder="1" applyAlignment="1" applyProtection="0">
      <alignment vertical="bottom"/>
    </xf>
    <xf numFmtId="2" fontId="0" fillId="4" borderId="24" applyNumberFormat="1" applyFont="1" applyFill="1" applyBorder="1" applyAlignment="1" applyProtection="0">
      <alignment horizontal="left" vertical="top" wrapText="1"/>
    </xf>
    <xf numFmtId="0" fontId="0" borderId="24" applyNumberFormat="0" applyFont="1" applyFill="0" applyBorder="1" applyAlignment="1" applyProtection="0">
      <alignment horizontal="left" vertical="bottom"/>
    </xf>
    <xf numFmtId="49" fontId="13" fillId="5" borderId="35" applyNumberFormat="1" applyFont="1" applyFill="1" applyBorder="1" applyAlignment="1" applyProtection="0">
      <alignment vertical="bottom"/>
    </xf>
    <xf numFmtId="49" fontId="13" fillId="5" borderId="26" applyNumberFormat="1" applyFont="1" applyFill="1" applyBorder="1" applyAlignment="1" applyProtection="0">
      <alignment vertical="bottom"/>
    </xf>
    <xf numFmtId="49" fontId="13" fillId="5" borderId="30" applyNumberFormat="1" applyFont="1" applyFill="1" applyBorder="1" applyAlignment="1" applyProtection="0">
      <alignment vertical="bottom"/>
    </xf>
    <xf numFmtId="49" fontId="1" borderId="31" applyNumberFormat="1" applyFont="1" applyFill="0" applyBorder="1" applyAlignment="1" applyProtection="0">
      <alignment horizontal="left" vertical="bottom"/>
    </xf>
    <xf numFmtId="0" fontId="1" borderId="29" applyNumberFormat="0" applyFont="1" applyFill="0" applyBorder="1" applyAlignment="1" applyProtection="0">
      <alignment vertical="bottom"/>
    </xf>
    <xf numFmtId="0" fontId="1" borderId="31" applyNumberFormat="0" applyFont="1" applyFill="0" applyBorder="1" applyAlignment="1" applyProtection="0">
      <alignment horizontal="left" vertical="bottom"/>
    </xf>
    <xf numFmtId="49" fontId="13" fillId="5" borderId="36" applyNumberFormat="1" applyFont="1" applyFill="1" applyBorder="1" applyAlignment="1" applyProtection="0">
      <alignment vertical="bottom"/>
    </xf>
    <xf numFmtId="14" fontId="1" borderId="33" applyNumberFormat="1" applyFont="1" applyFill="0" applyBorder="1" applyAlignment="1" applyProtection="0">
      <alignment horizontal="left" vertical="bottom"/>
    </xf>
    <xf numFmtId="49" fontId="1" borderId="28" applyNumberFormat="1" applyFont="1" applyFill="0" applyBorder="1" applyAlignment="1" applyProtection="0">
      <alignment horizontal="left" vertical="bottom"/>
    </xf>
    <xf numFmtId="14" fontId="1" borderId="31" applyNumberFormat="1" applyFont="1" applyFill="0" applyBorder="1" applyAlignment="1" applyProtection="0">
      <alignment horizontal="left" vertical="bottom"/>
    </xf>
    <xf numFmtId="0" fontId="1" borderId="33" applyNumberFormat="0" applyFont="1" applyFill="0" applyBorder="1" applyAlignment="1" applyProtection="0">
      <alignment horizontal="left" vertical="bottom"/>
    </xf>
    <xf numFmtId="0" fontId="1" borderId="37" applyNumberFormat="0" applyFont="1" applyFill="0" applyBorder="1" applyAlignment="1" applyProtection="0">
      <alignment vertical="bottom"/>
    </xf>
    <xf numFmtId="49" fontId="9" borderId="9" applyNumberFormat="1" applyFont="1" applyFill="0" applyBorder="1" applyAlignment="1" applyProtection="0">
      <alignment vertical="bottom"/>
    </xf>
    <xf numFmtId="4" fontId="1" fillId="6" borderId="9" applyNumberFormat="1" applyFont="1" applyFill="1" applyBorder="1" applyAlignment="1" applyProtection="0">
      <alignment vertical="bottom"/>
    </xf>
    <xf numFmtId="49" fontId="9" borderId="28" applyNumberFormat="1" applyFont="1" applyFill="0" applyBorder="1" applyAlignment="1" applyProtection="0">
      <alignment horizontal="left" vertical="bottom"/>
    </xf>
    <xf numFmtId="0" fontId="1" fillId="6" borderId="9" applyNumberFormat="1" applyFont="1" applyFill="1" applyBorder="1" applyAlignment="1" applyProtection="0">
      <alignment vertical="bottom"/>
    </xf>
    <xf numFmtId="49" fontId="9" borderId="31" applyNumberFormat="1" applyFont="1" applyFill="0" applyBorder="1" applyAlignment="1" applyProtection="0">
      <alignment horizontal="left" vertical="bottom"/>
    </xf>
    <xf numFmtId="1" fontId="1" borderId="31" applyNumberFormat="1" applyFont="1" applyFill="0" applyBorder="1" applyAlignment="1" applyProtection="0">
      <alignment horizontal="left" vertical="bottom"/>
    </xf>
    <xf numFmtId="0" fontId="1" borderId="31" applyNumberFormat="1" applyFont="1" applyFill="0" applyBorder="1" applyAlignment="1" applyProtection="0">
      <alignment horizontal="left" vertical="bottom"/>
    </xf>
    <xf numFmtId="0" fontId="1" borderId="33" applyNumberFormat="1" applyFont="1" applyFill="0" applyBorder="1" applyAlignment="1" applyProtection="0">
      <alignment horizontal="left" vertical="bottom"/>
    </xf>
    <xf numFmtId="16" fontId="1" borderId="28" applyNumberFormat="1" applyFont="1" applyFill="0" applyBorder="1" applyAlignment="1" applyProtection="0">
      <alignment horizontal="left" vertical="bottom"/>
    </xf>
    <xf numFmtId="16" fontId="1" borderId="33" applyNumberFormat="1" applyFont="1" applyFill="0" applyBorder="1" applyAlignment="1" applyProtection="0">
      <alignment horizontal="left" vertical="bottom"/>
    </xf>
    <xf numFmtId="63" fontId="1" borderId="28" applyNumberFormat="1" applyFont="1" applyFill="0" applyBorder="1" applyAlignment="1" applyProtection="0">
      <alignment horizontal="left" vertical="bottom"/>
    </xf>
    <xf numFmtId="1" fontId="1" borderId="33" applyNumberFormat="1" applyFont="1" applyFill="0" applyBorder="1" applyAlignment="1" applyProtection="0">
      <alignment horizontal="left" vertical="bottom"/>
    </xf>
    <xf numFmtId="49" fontId="13" fillId="5" borderId="9" applyNumberFormat="1" applyFont="1" applyFill="1" applyBorder="1" applyAlignment="1" applyProtection="0">
      <alignment horizontal="center" vertical="center" wrapText="1"/>
    </xf>
    <xf numFmtId="49" fontId="13" fillId="5" borderId="31" applyNumberFormat="1" applyFont="1" applyFill="1" applyBorder="1" applyAlignment="1" applyProtection="0">
      <alignment horizontal="center" vertical="center" wrapText="1"/>
    </xf>
    <xf numFmtId="49" fontId="13" fillId="5" borderId="38" applyNumberFormat="1" applyFont="1" applyFill="1" applyBorder="1" applyAlignment="1" applyProtection="0">
      <alignment horizontal="center" vertical="center" wrapText="1"/>
    </xf>
    <xf numFmtId="49" fontId="13" fillId="5" borderId="30" applyNumberFormat="1" applyFont="1" applyFill="1" applyBorder="1" applyAlignment="1" applyProtection="0">
      <alignment horizontal="center" vertical="center" wrapText="1"/>
    </xf>
    <xf numFmtId="0" fontId="9" borderId="9" applyNumberFormat="1" applyFont="1" applyFill="0" applyBorder="1" applyAlignment="1" applyProtection="0">
      <alignment horizontal="left" vertical="bottom"/>
    </xf>
    <xf numFmtId="49" fontId="9" borderId="9" applyNumberFormat="1" applyFont="1" applyFill="0" applyBorder="1" applyAlignment="1" applyProtection="0">
      <alignment horizontal="left" vertical="bottom"/>
    </xf>
    <xf numFmtId="0" fontId="9" borderId="9" applyNumberFormat="1" applyFont="1" applyFill="0" applyBorder="1" applyAlignment="1" applyProtection="0">
      <alignment horizontal="center" vertical="bottom"/>
    </xf>
    <xf numFmtId="64" fontId="9" borderId="9" applyNumberFormat="1" applyFont="1" applyFill="0" applyBorder="1" applyAlignment="1" applyProtection="0">
      <alignment horizontal="right" vertical="bottom"/>
    </xf>
    <xf numFmtId="2" fontId="1" borderId="32" applyNumberFormat="1" applyFont="1" applyFill="0" applyBorder="1" applyAlignment="1" applyProtection="0">
      <alignment vertical="bottom"/>
    </xf>
    <xf numFmtId="1" fontId="1" borderId="39" applyNumberFormat="1" applyFont="1" applyFill="0" applyBorder="1" applyAlignment="1" applyProtection="0">
      <alignment vertical="bottom"/>
    </xf>
    <xf numFmtId="49" fontId="9" fillId="7" borderId="26" applyNumberFormat="1" applyFont="1" applyFill="1" applyBorder="1" applyAlignment="1" applyProtection="0">
      <alignment horizontal="right" vertical="bottom"/>
    </xf>
    <xf numFmtId="2" fontId="9" fillId="7" borderId="28" applyNumberFormat="1" applyFont="1" applyFill="1" applyBorder="1" applyAlignment="1" applyProtection="0">
      <alignment vertical="bottom"/>
    </xf>
    <xf numFmtId="0" fontId="0" borderId="40" applyNumberFormat="0" applyFont="1" applyFill="0" applyBorder="1" applyAlignment="1" applyProtection="0">
      <alignment vertical="bottom"/>
    </xf>
    <xf numFmtId="3" fontId="1" borderId="25" applyNumberFormat="1" applyFont="1" applyFill="0" applyBorder="1" applyAlignment="1" applyProtection="0">
      <alignment vertical="bottom"/>
    </xf>
    <xf numFmtId="49" fontId="9" fillId="7" borderId="30" applyNumberFormat="1" applyFont="1" applyFill="1" applyBorder="1" applyAlignment="1" applyProtection="0">
      <alignment horizontal="right" vertical="bottom"/>
    </xf>
    <xf numFmtId="61" fontId="9" fillId="7" borderId="31" applyNumberFormat="1" applyFont="1" applyFill="1" applyBorder="1" applyAlignment="1" applyProtection="0">
      <alignment vertical="bottom"/>
    </xf>
    <xf numFmtId="1" fontId="1" borderId="25" applyNumberFormat="1" applyFont="1" applyFill="0" applyBorder="1" applyAlignment="1" applyProtection="0">
      <alignment vertical="bottom"/>
    </xf>
    <xf numFmtId="49" fontId="9" fillId="7" borderId="36" applyNumberFormat="1" applyFont="1" applyFill="1" applyBorder="1" applyAlignment="1" applyProtection="0">
      <alignment horizontal="right" vertical="bottom"/>
    </xf>
    <xf numFmtId="61" fontId="9" fillId="7" borderId="33" applyNumberFormat="1" applyFont="1" applyFill="1" applyBorder="1" applyAlignment="1" applyProtection="0">
      <alignment vertical="bottom"/>
    </xf>
    <xf numFmtId="0" fontId="1" borderId="41" applyNumberFormat="0" applyFont="1" applyFill="0" applyBorder="1" applyAlignment="1" applyProtection="0">
      <alignment vertical="bottom"/>
    </xf>
    <xf numFmtId="49" fontId="9" borderId="27" applyNumberFormat="1" applyFont="1" applyFill="0" applyBorder="1" applyAlignment="1" applyProtection="0">
      <alignment horizontal="center" vertical="bottom"/>
    </xf>
    <xf numFmtId="49" fontId="9" borderId="28" applyNumberFormat="1" applyFont="1" applyFill="0" applyBorder="1" applyAlignment="1" applyProtection="0">
      <alignment horizontal="center" vertical="bottom"/>
    </xf>
    <xf numFmtId="49" fontId="13" fillId="5" borderId="30" applyNumberFormat="1" applyFont="1" applyFill="1" applyBorder="1" applyAlignment="1" applyProtection="0">
      <alignment vertical="bottom" wrapText="1"/>
    </xf>
    <xf numFmtId="66" fontId="9" borderId="9" applyNumberFormat="1" applyFont="1" applyFill="0" applyBorder="1" applyAlignment="1" applyProtection="0">
      <alignment vertical="bottom"/>
    </xf>
    <xf numFmtId="68" fontId="9" borderId="9" applyNumberFormat="1" applyFont="1" applyFill="0" applyBorder="1" applyAlignment="1" applyProtection="0">
      <alignment vertical="bottom"/>
    </xf>
    <xf numFmtId="66" fontId="9" borderId="32" applyNumberFormat="1" applyFont="1" applyFill="0" applyBorder="1" applyAlignment="1" applyProtection="0">
      <alignment vertical="bottom"/>
    </xf>
    <xf numFmtId="49" fontId="9" borderId="42" applyNumberFormat="1" applyFont="1" applyFill="0" applyBorder="1" applyAlignment="1" applyProtection="0">
      <alignment horizontal="center" vertical="bottom"/>
    </xf>
    <xf numFmtId="0" fontId="1" borderId="43" applyNumberFormat="0" applyFont="1" applyFill="0" applyBorder="1" applyAlignment="1" applyProtection="0">
      <alignment vertical="bottom"/>
    </xf>
    <xf numFmtId="70" fontId="1" fillId="8" borderId="9" applyNumberFormat="1" applyFont="1" applyFill="1" applyBorder="1" applyAlignment="1" applyProtection="0">
      <alignment vertical="bottom"/>
    </xf>
    <xf numFmtId="0" fontId="0" applyNumberFormat="1" applyFont="1" applyFill="0" applyBorder="0" applyAlignment="1" applyProtection="0">
      <alignment vertical="bottom"/>
    </xf>
    <xf numFmtId="0" fontId="9" borderId="9" applyNumberFormat="0" applyFont="1" applyFill="0" applyBorder="1" applyAlignment="1" applyProtection="0">
      <alignment horizontal="center" vertical="bottom"/>
    </xf>
    <xf numFmtId="49" fontId="14" borderId="9" applyNumberFormat="1" applyFont="1" applyFill="0"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27405e"/>
      <rgbColor rgb="ffd2dae4"/>
      <rgbColor rgb="ffb8cce4"/>
      <rgbColor rgb="ffeaf1d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27</v>
      </c>
      <c r="C11" s="3"/>
      <c r="D11" s="3"/>
    </row>
    <row r="12">
      <c r="B12" s="4"/>
      <c r="C12" t="s" s="4">
        <v>5</v>
      </c>
      <c r="D12" t="s" s="5">
        <v>27</v>
      </c>
    </row>
    <row r="13">
      <c r="B13" t="s" s="3">
        <v>67</v>
      </c>
      <c r="C13" s="3"/>
      <c r="D13" s="3"/>
    </row>
    <row r="14">
      <c r="B14" s="4"/>
      <c r="C14" t="s" s="4">
        <v>5</v>
      </c>
      <c r="D14" t="s" s="5">
        <v>67</v>
      </c>
    </row>
    <row r="15">
      <c r="B15" t="s" s="3">
        <v>74</v>
      </c>
      <c r="C15" s="3"/>
      <c r="D15" s="3"/>
    </row>
    <row r="16">
      <c r="B16" s="4"/>
      <c r="C16" t="s" s="4">
        <v>5</v>
      </c>
      <c r="D16" t="s" s="5">
        <v>74</v>
      </c>
    </row>
  </sheetData>
  <mergeCells count="1">
    <mergeCell ref="B3:D3"/>
  </mergeCells>
  <hyperlinks>
    <hyperlink ref="D10" location="'Instrucciones'!R1C1" tooltip="" display="Instrucciones"/>
    <hyperlink ref="D12" location="'TCO INICIAL'!R1C1" tooltip="" display="TCO INICIAL"/>
    <hyperlink ref="D14" location="'TCO FINAL'!R1C1" tooltip="" display="TCO FINAL"/>
    <hyperlink ref="D16" location="'DATOS'!R1C1" tooltip="" display="DATOS"/>
  </hyperlinks>
</worksheet>
</file>

<file path=xl/worksheets/sheet2.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10.8333" defaultRowHeight="13.2" customHeight="1" outlineLevelRow="0" outlineLevelCol="0"/>
  <cols>
    <col min="1" max="1" width="3.5" style="6" customWidth="1"/>
    <col min="2" max="2" width="37.1719" style="6" customWidth="1"/>
    <col min="3" max="5" width="10.8516" style="6" customWidth="1"/>
    <col min="6" max="16384" width="10.8516" style="6" customWidth="1"/>
  </cols>
  <sheetData>
    <row r="1" ht="13.65" customHeight="1">
      <c r="A1" s="7"/>
      <c r="B1" s="8"/>
      <c r="C1" s="8"/>
      <c r="D1" s="8"/>
      <c r="E1" s="9"/>
    </row>
    <row r="2" ht="17.4" customHeight="1">
      <c r="A2" s="10"/>
      <c r="B2" t="s" s="11">
        <v>4</v>
      </c>
      <c r="C2" s="12"/>
      <c r="D2" s="12"/>
      <c r="E2" s="13"/>
    </row>
    <row r="3" ht="13.65" customHeight="1">
      <c r="A3" s="10"/>
      <c r="B3" s="12"/>
      <c r="C3" s="12"/>
      <c r="D3" s="12"/>
      <c r="E3" s="13"/>
    </row>
    <row r="4" ht="13.65" customHeight="1">
      <c r="A4" s="10"/>
      <c r="B4" t="s" s="14">
        <v>6</v>
      </c>
      <c r="C4" s="12"/>
      <c r="D4" s="12"/>
      <c r="E4" s="13"/>
    </row>
    <row r="5" ht="13.65" customHeight="1">
      <c r="A5" s="10"/>
      <c r="B5" s="12"/>
      <c r="C5" s="12"/>
      <c r="D5" s="12"/>
      <c r="E5" s="13"/>
    </row>
    <row r="6" ht="13.65" customHeight="1">
      <c r="A6" s="10"/>
      <c r="B6" t="s" s="14">
        <v>7</v>
      </c>
      <c r="C6" s="12"/>
      <c r="D6" s="12"/>
      <c r="E6" s="13"/>
    </row>
    <row r="7" ht="13.65" customHeight="1">
      <c r="A7" s="10"/>
      <c r="B7" s="12"/>
      <c r="C7" s="12"/>
      <c r="D7" s="12"/>
      <c r="E7" s="13"/>
    </row>
    <row r="8" ht="13.65" customHeight="1">
      <c r="A8" s="10"/>
      <c r="B8" t="s" s="15">
        <v>8</v>
      </c>
      <c r="C8" s="12"/>
      <c r="D8" s="12"/>
      <c r="E8" s="13"/>
    </row>
    <row r="9" ht="15" customHeight="1">
      <c r="A9" s="16"/>
      <c r="B9" t="s" s="17">
        <v>9</v>
      </c>
      <c r="C9" t="s" s="18">
        <v>10</v>
      </c>
      <c r="D9" s="12"/>
      <c r="E9" s="13"/>
    </row>
    <row r="10" ht="15" customHeight="1">
      <c r="A10" s="16"/>
      <c r="B10" t="s" s="17">
        <v>11</v>
      </c>
      <c r="C10" t="s" s="18">
        <v>12</v>
      </c>
      <c r="D10" s="12"/>
      <c r="E10" s="13"/>
    </row>
    <row r="11" ht="15" customHeight="1">
      <c r="A11" s="16"/>
      <c r="B11" t="s" s="17">
        <v>13</v>
      </c>
      <c r="C11" t="s" s="18">
        <v>14</v>
      </c>
      <c r="D11" s="12"/>
      <c r="E11" s="13"/>
    </row>
    <row r="12" ht="15" customHeight="1">
      <c r="A12" s="16"/>
      <c r="B12" t="s" s="17">
        <v>15</v>
      </c>
      <c r="C12" t="s" s="18">
        <v>14</v>
      </c>
      <c r="D12" s="12"/>
      <c r="E12" s="13"/>
    </row>
    <row r="13" ht="15" customHeight="1">
      <c r="A13" s="16"/>
      <c r="B13" t="s" s="17">
        <v>16</v>
      </c>
      <c r="C13" t="s" s="18">
        <v>14</v>
      </c>
      <c r="D13" s="12"/>
      <c r="E13" s="13"/>
    </row>
    <row r="14" ht="15" customHeight="1">
      <c r="A14" s="16"/>
      <c r="B14" t="s" s="17">
        <v>17</v>
      </c>
      <c r="C14" t="s" s="18">
        <v>18</v>
      </c>
      <c r="D14" s="12"/>
      <c r="E14" s="13"/>
    </row>
    <row r="15" ht="15" customHeight="1">
      <c r="A15" s="16"/>
      <c r="B15" t="s" s="17">
        <v>19</v>
      </c>
      <c r="C15" t="s" s="18">
        <v>20</v>
      </c>
      <c r="D15" s="12"/>
      <c r="E15" s="13"/>
    </row>
    <row r="16" ht="15" customHeight="1">
      <c r="A16" s="16"/>
      <c r="B16" t="s" s="17">
        <v>21</v>
      </c>
      <c r="C16" t="s" s="18">
        <v>22</v>
      </c>
      <c r="D16" s="12"/>
      <c r="E16" s="13"/>
    </row>
    <row r="17" ht="15" customHeight="1">
      <c r="A17" s="16"/>
      <c r="B17" t="s" s="17">
        <v>23</v>
      </c>
      <c r="C17" t="s" s="18">
        <v>24</v>
      </c>
      <c r="D17" s="12"/>
      <c r="E17" s="13"/>
    </row>
    <row r="18" ht="13.65" customHeight="1">
      <c r="A18" s="10"/>
      <c r="B18" s="19"/>
      <c r="C18" s="12"/>
      <c r="D18" s="12"/>
      <c r="E18" s="13"/>
    </row>
    <row r="19" ht="13.65" customHeight="1">
      <c r="A19" s="10"/>
      <c r="B19" t="s" s="14">
        <v>25</v>
      </c>
      <c r="C19" s="12"/>
      <c r="D19" s="12"/>
      <c r="E19" s="13"/>
    </row>
    <row r="20" ht="13.65" customHeight="1">
      <c r="A20" s="10"/>
      <c r="B20" s="12"/>
      <c r="C20" s="12"/>
      <c r="D20" s="12"/>
      <c r="E20" s="13"/>
    </row>
    <row r="21" ht="13.65" customHeight="1">
      <c r="A21" s="20"/>
      <c r="B21" t="s" s="21">
        <v>26</v>
      </c>
      <c r="C21" s="22"/>
      <c r="D21" s="22"/>
      <c r="E21" s="2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O37"/>
  <sheetViews>
    <sheetView workbookViewId="0" showGridLines="0" defaultGridColor="1"/>
  </sheetViews>
  <sheetFormatPr defaultColWidth="10.8333" defaultRowHeight="13.2" customHeight="1" outlineLevelRow="0" outlineLevelCol="0"/>
  <cols>
    <col min="1" max="2" width="4.67188" style="24" customWidth="1"/>
    <col min="3" max="3" width="65.1719" style="24" customWidth="1"/>
    <col min="4" max="4" width="52.5" style="24" customWidth="1"/>
    <col min="5" max="5" width="10.8516" style="24" customWidth="1"/>
    <col min="6" max="6" width="24.5" style="24" customWidth="1"/>
    <col min="7" max="7" width="13.5" style="24" customWidth="1"/>
    <col min="8" max="8" width="13.3516" style="24" customWidth="1"/>
    <col min="9" max="9" width="15.5" style="24" customWidth="1"/>
    <col min="10" max="10" width="17.6719" style="24" customWidth="1"/>
    <col min="11" max="14" width="10.8516" style="24" customWidth="1"/>
    <col min="15" max="15" width="12.1719" style="24" customWidth="1"/>
    <col min="16" max="16384" width="10.8516" style="24" customWidth="1"/>
  </cols>
  <sheetData>
    <row r="1" ht="15" customHeight="1">
      <c r="A1" s="25"/>
      <c r="B1" s="25"/>
      <c r="C1" t="s" s="26">
        <v>28</v>
      </c>
      <c r="D1" s="25"/>
      <c r="E1" s="25"/>
      <c r="F1" s="27"/>
      <c r="G1" s="28"/>
      <c r="H1" s="28"/>
      <c r="I1" s="25"/>
      <c r="J1" s="25"/>
      <c r="K1" s="25"/>
      <c r="L1" s="25"/>
      <c r="M1" s="25"/>
      <c r="N1" s="25"/>
      <c r="O1" s="25"/>
    </row>
    <row r="2" ht="13.65" customHeight="1">
      <c r="A2" s="25"/>
      <c r="B2" s="25"/>
      <c r="C2" s="29"/>
      <c r="D2" s="30"/>
      <c r="E2" s="31"/>
      <c r="F2" s="32"/>
      <c r="G2" s="33"/>
      <c r="H2" s="33"/>
      <c r="I2" s="31"/>
      <c r="J2" s="32"/>
      <c r="K2" s="34"/>
      <c r="L2" s="35"/>
      <c r="M2" s="36"/>
      <c r="N2" s="36"/>
      <c r="O2" s="36"/>
    </row>
    <row r="3" ht="15.6" customHeight="1">
      <c r="A3" s="25"/>
      <c r="B3" s="37"/>
      <c r="C3" t="s" s="38">
        <v>29</v>
      </c>
      <c r="D3" s="39"/>
      <c r="E3" s="40"/>
      <c r="F3" s="41"/>
      <c r="G3" s="42"/>
      <c r="H3" s="43"/>
      <c r="I3" s="43"/>
      <c r="J3" s="43"/>
      <c r="K3" s="43"/>
      <c r="L3" s="44"/>
      <c r="M3" s="43"/>
      <c r="N3" s="43"/>
      <c r="O3" s="43"/>
    </row>
    <row r="4" ht="15.6" customHeight="1">
      <c r="A4" s="25"/>
      <c r="B4" s="37"/>
      <c r="C4" t="s" s="38">
        <v>30</v>
      </c>
      <c r="D4" s="45"/>
      <c r="E4" s="40"/>
      <c r="F4" s="41"/>
      <c r="G4" s="42"/>
      <c r="H4" s="46"/>
      <c r="I4" s="43"/>
      <c r="J4" s="47"/>
      <c r="K4" s="43"/>
      <c r="L4" s="44"/>
      <c r="M4" s="43"/>
      <c r="N4" s="43"/>
      <c r="O4" s="43"/>
    </row>
    <row r="5" ht="15.6" customHeight="1">
      <c r="A5" s="25"/>
      <c r="B5" s="37"/>
      <c r="C5" t="s" s="38">
        <v>31</v>
      </c>
      <c r="D5" s="45"/>
      <c r="E5" s="40"/>
      <c r="F5" s="41"/>
      <c r="G5" s="42"/>
      <c r="H5" s="43"/>
      <c r="I5" s="48"/>
      <c r="J5" s="43"/>
      <c r="K5" s="43"/>
      <c r="L5" s="44"/>
      <c r="M5" s="43"/>
      <c r="N5" s="43"/>
      <c r="O5" s="43"/>
    </row>
    <row r="6" ht="15.6" customHeight="1">
      <c r="A6" s="25"/>
      <c r="B6" s="37"/>
      <c r="C6" t="s" s="38">
        <v>32</v>
      </c>
      <c r="D6" s="49"/>
      <c r="E6" s="40"/>
      <c r="F6" s="41"/>
      <c r="G6" s="42"/>
      <c r="H6" s="46"/>
      <c r="I6" s="48"/>
      <c r="J6" s="43"/>
      <c r="K6" s="43"/>
      <c r="L6" s="50"/>
      <c r="M6" s="51"/>
      <c r="N6" s="51"/>
      <c r="O6" s="43"/>
    </row>
    <row r="7" ht="15.6" customHeight="1">
      <c r="A7" s="25"/>
      <c r="B7" s="37"/>
      <c r="C7" t="s" s="38">
        <v>33</v>
      </c>
      <c r="D7" s="52"/>
      <c r="E7" s="40"/>
      <c r="F7" s="41"/>
      <c r="G7" s="42"/>
      <c r="H7" s="43"/>
      <c r="I7" s="43"/>
      <c r="J7" s="43"/>
      <c r="K7" s="43"/>
      <c r="L7" s="50"/>
      <c r="M7" s="43"/>
      <c r="N7" s="43"/>
      <c r="O7" s="43"/>
    </row>
    <row r="8" ht="15.6" customHeight="1">
      <c r="A8" s="25"/>
      <c r="B8" s="37"/>
      <c r="C8" t="s" s="38">
        <v>34</v>
      </c>
      <c r="D8" s="49"/>
      <c r="E8" s="40"/>
      <c r="F8" s="53"/>
      <c r="G8" s="54"/>
      <c r="H8" s="46"/>
      <c r="I8" s="43"/>
      <c r="J8" s="43"/>
      <c r="K8" s="43"/>
      <c r="L8" s="55"/>
      <c r="M8" s="43"/>
      <c r="N8" s="43"/>
      <c r="O8" s="43"/>
    </row>
    <row r="9" ht="15.6" customHeight="1">
      <c r="A9" s="25"/>
      <c r="B9" s="37"/>
      <c r="C9" t="s" s="38">
        <v>35</v>
      </c>
      <c r="D9" s="45"/>
      <c r="E9" s="56"/>
      <c r="F9" t="s" s="38">
        <v>36</v>
      </c>
      <c r="G9" s="57">
        <v>39400</v>
      </c>
      <c r="H9" s="58"/>
      <c r="I9" s="43"/>
      <c r="J9" s="47"/>
      <c r="K9" s="47"/>
      <c r="L9" s="55"/>
      <c r="M9" s="51"/>
      <c r="N9" s="51"/>
      <c r="O9" s="43"/>
    </row>
    <row r="10" ht="15" customHeight="1">
      <c r="A10" s="25"/>
      <c r="B10" s="37"/>
      <c r="C10" t="s" s="38">
        <v>37</v>
      </c>
      <c r="D10" s="45"/>
      <c r="E10" s="56"/>
      <c r="F10" t="s" s="38">
        <v>38</v>
      </c>
      <c r="G10" s="59">
        <v>1000</v>
      </c>
      <c r="H10" s="60"/>
      <c r="I10" s="43"/>
      <c r="J10" s="43"/>
      <c r="K10" s="47"/>
      <c r="L10" s="43"/>
      <c r="M10" s="43"/>
      <c r="N10" s="43"/>
      <c r="O10" s="43"/>
    </row>
    <row r="11" ht="15.6" customHeight="1">
      <c r="A11" s="25"/>
      <c r="B11" s="37"/>
      <c r="C11" t="s" s="38">
        <v>39</v>
      </c>
      <c r="D11" s="45"/>
      <c r="E11" s="56"/>
      <c r="F11" t="s" s="38">
        <v>40</v>
      </c>
      <c r="G11" s="59">
        <v>0.03264</v>
      </c>
      <c r="H11" s="58"/>
      <c r="I11" s="43"/>
      <c r="J11" s="43"/>
      <c r="K11" s="47"/>
      <c r="L11" s="55"/>
      <c r="M11" s="43"/>
      <c r="N11" s="43"/>
      <c r="O11" s="43"/>
    </row>
    <row r="12" ht="15" customHeight="1">
      <c r="A12" s="25"/>
      <c r="B12" s="37"/>
      <c r="C12" t="s" s="38">
        <v>41</v>
      </c>
      <c r="D12" s="61"/>
      <c r="E12" s="40"/>
      <c r="F12" s="62"/>
      <c r="G12" s="63"/>
      <c r="H12" s="51"/>
      <c r="I12" s="43"/>
      <c r="J12" s="43"/>
      <c r="K12" s="47"/>
      <c r="L12" s="43"/>
      <c r="M12" s="43"/>
      <c r="N12" s="43"/>
      <c r="O12" s="43"/>
    </row>
    <row r="13" ht="15.6" customHeight="1">
      <c r="A13" s="25"/>
      <c r="B13" s="37"/>
      <c r="C13" t="s" s="38">
        <v>42</v>
      </c>
      <c r="D13" s="45"/>
      <c r="E13" s="40"/>
      <c r="F13" s="64"/>
      <c r="G13" s="42"/>
      <c r="H13" s="65"/>
      <c r="I13" s="43"/>
      <c r="J13" s="43"/>
      <c r="K13" s="47"/>
      <c r="L13" s="55"/>
      <c r="M13" s="43"/>
      <c r="N13" s="43"/>
      <c r="O13" s="43"/>
    </row>
    <row r="14" ht="15" customHeight="1">
      <c r="A14" s="25"/>
      <c r="B14" s="37"/>
      <c r="C14" t="s" s="38">
        <v>43</v>
      </c>
      <c r="D14" s="45"/>
      <c r="E14" s="40"/>
      <c r="F14" s="64"/>
      <c r="G14" s="42"/>
      <c r="H14" s="51"/>
      <c r="I14" s="43"/>
      <c r="J14" s="43"/>
      <c r="K14" s="47"/>
      <c r="L14" s="43"/>
      <c r="M14" s="43"/>
      <c r="N14" s="43"/>
      <c r="O14" s="43"/>
    </row>
    <row r="15" ht="15.6" customHeight="1">
      <c r="A15" s="25"/>
      <c r="B15" s="37"/>
      <c r="C15" t="s" s="38">
        <v>44</v>
      </c>
      <c r="D15" s="52"/>
      <c r="E15" s="40"/>
      <c r="F15" s="66"/>
      <c r="G15" s="42"/>
      <c r="H15" s="65"/>
      <c r="I15" s="43"/>
      <c r="J15" s="43"/>
      <c r="K15" s="47"/>
      <c r="L15" s="55"/>
      <c r="M15" s="43"/>
      <c r="N15" s="43"/>
      <c r="O15" s="43"/>
    </row>
    <row r="16" ht="15" customHeight="1">
      <c r="A16" s="25"/>
      <c r="B16" s="37"/>
      <c r="C16" t="s" s="38">
        <v>45</v>
      </c>
      <c r="D16" s="52"/>
      <c r="E16" s="40"/>
      <c r="F16" s="66"/>
      <c r="G16" s="42"/>
      <c r="H16" s="51"/>
      <c r="I16" s="43"/>
      <c r="J16" s="43"/>
      <c r="K16" s="47"/>
      <c r="L16" s="43"/>
      <c r="M16" s="43"/>
      <c r="N16" s="43"/>
      <c r="O16" s="43"/>
    </row>
    <row r="17" ht="15.6" customHeight="1">
      <c r="A17" s="25"/>
      <c r="B17" s="37"/>
      <c r="C17" t="s" s="38">
        <v>46</v>
      </c>
      <c r="D17" s="52"/>
      <c r="E17" s="40"/>
      <c r="F17" s="66"/>
      <c r="G17" s="42"/>
      <c r="H17" s="65"/>
      <c r="I17" s="67"/>
      <c r="J17" s="43"/>
      <c r="K17" s="47"/>
      <c r="L17" s="55"/>
      <c r="M17" s="43"/>
      <c r="N17" s="43"/>
      <c r="O17" s="43"/>
    </row>
    <row r="18" ht="15.6" customHeight="1">
      <c r="A18" s="25"/>
      <c r="B18" s="37"/>
      <c r="C18" t="s" s="38">
        <v>47</v>
      </c>
      <c r="D18" s="68"/>
      <c r="E18" s="40"/>
      <c r="F18" s="69"/>
      <c r="G18" s="42"/>
      <c r="H18" s="70"/>
      <c r="I18" s="71"/>
      <c r="J18" s="72"/>
      <c r="K18" s="43"/>
      <c r="L18" s="43"/>
      <c r="M18" s="43"/>
      <c r="N18" s="43"/>
      <c r="O18" s="43"/>
    </row>
    <row r="19" ht="15.6" customHeight="1">
      <c r="A19" s="25"/>
      <c r="B19" s="37"/>
      <c r="C19" t="s" s="38">
        <v>48</v>
      </c>
      <c r="D19" s="61"/>
      <c r="E19" s="40"/>
      <c r="F19" s="64"/>
      <c r="G19" s="73"/>
      <c r="H19" s="43"/>
      <c r="I19" s="74"/>
      <c r="J19" s="75"/>
      <c r="K19" s="55"/>
      <c r="L19" s="43"/>
      <c r="M19" s="43"/>
      <c r="N19" s="43"/>
      <c r="O19" s="43"/>
    </row>
    <row r="20" ht="15.6" customHeight="1">
      <c r="A20" s="25"/>
      <c r="B20" s="25"/>
      <c r="C20" s="76"/>
      <c r="D20" s="76"/>
      <c r="E20" s="67"/>
      <c r="F20" s="77"/>
      <c r="G20" s="78"/>
      <c r="H20" s="79"/>
      <c r="I20" s="80"/>
      <c r="J20" s="81"/>
      <c r="K20" s="82"/>
      <c r="L20" s="67"/>
      <c r="M20" s="67"/>
      <c r="N20" s="67"/>
      <c r="O20" s="67"/>
    </row>
    <row r="21" ht="30" customHeight="1">
      <c r="A21" s="25"/>
      <c r="B21" s="37"/>
      <c r="C21" t="s" s="17">
        <v>49</v>
      </c>
      <c r="D21" t="s" s="17">
        <v>50</v>
      </c>
      <c r="E21" t="s" s="17">
        <v>51</v>
      </c>
      <c r="F21" t="s" s="17">
        <v>52</v>
      </c>
      <c r="G21" t="s" s="17">
        <v>9</v>
      </c>
      <c r="H21" t="s" s="17">
        <v>11</v>
      </c>
      <c r="I21" t="s" s="17">
        <v>17</v>
      </c>
      <c r="J21" t="s" s="17">
        <v>19</v>
      </c>
      <c r="K21" t="s" s="17">
        <v>13</v>
      </c>
      <c r="L21" t="s" s="17">
        <v>15</v>
      </c>
      <c r="M21" t="s" s="17">
        <v>16</v>
      </c>
      <c r="N21" t="s" s="17">
        <v>21</v>
      </c>
      <c r="O21" t="s" s="17">
        <v>23</v>
      </c>
    </row>
    <row r="22" ht="15" customHeight="1">
      <c r="A22" s="25"/>
      <c r="B22" s="37"/>
      <c r="C22" s="83">
        <v>423509</v>
      </c>
      <c r="D22" t="s" s="84">
        <v>53</v>
      </c>
      <c r="E22" s="85">
        <v>100</v>
      </c>
      <c r="F22" s="86">
        <v>1479</v>
      </c>
      <c r="G22" s="87"/>
      <c r="H22" s="88"/>
      <c r="I22" s="71"/>
      <c r="J22" s="71"/>
      <c r="K22" s="39"/>
      <c r="L22" s="89"/>
      <c r="M22" s="90"/>
      <c r="N22" s="91"/>
      <c r="O22" s="91"/>
    </row>
    <row r="23" ht="15" customHeight="1">
      <c r="A23" s="25"/>
      <c r="B23" s="37"/>
      <c r="C23" s="83">
        <v>423524</v>
      </c>
      <c r="D23" t="s" s="84">
        <v>54</v>
      </c>
      <c r="E23" s="85">
        <v>9</v>
      </c>
      <c r="F23" s="86">
        <v>310</v>
      </c>
      <c r="G23" s="87"/>
      <c r="H23" s="88"/>
      <c r="I23" s="71"/>
      <c r="J23" s="71"/>
      <c r="K23" s="39"/>
      <c r="L23" s="89"/>
      <c r="M23" s="90"/>
      <c r="N23" s="91"/>
      <c r="O23" s="91"/>
    </row>
    <row r="24" ht="15" customHeight="1">
      <c r="A24" s="25"/>
      <c r="B24" s="37"/>
      <c r="C24" t="s" s="84">
        <v>55</v>
      </c>
      <c r="D24" t="s" s="84">
        <v>56</v>
      </c>
      <c r="E24" s="85">
        <v>100</v>
      </c>
      <c r="F24" s="86">
        <v>209</v>
      </c>
      <c r="G24" s="87"/>
      <c r="H24" s="88"/>
      <c r="I24" s="71"/>
      <c r="J24" s="71"/>
      <c r="K24" s="39"/>
      <c r="L24" s="89"/>
      <c r="M24" s="90"/>
      <c r="N24" s="91"/>
      <c r="O24" s="91"/>
    </row>
    <row r="25" ht="15" customHeight="1">
      <c r="A25" s="25"/>
      <c r="B25" s="25"/>
      <c r="C25" s="92"/>
      <c r="D25" s="92"/>
      <c r="E25" s="92"/>
      <c r="F25" s="92"/>
      <c r="G25" s="62"/>
      <c r="H25" s="93"/>
      <c r="I25" t="s" s="94">
        <v>57</v>
      </c>
      <c r="J25" s="71"/>
      <c r="K25" s="95"/>
      <c r="L25" s="92"/>
      <c r="M25" s="92"/>
      <c r="N25" s="92"/>
      <c r="O25" s="92"/>
    </row>
    <row r="26" ht="15" customHeight="1">
      <c r="A26" s="25"/>
      <c r="B26" s="25"/>
      <c r="C26" s="25"/>
      <c r="D26" s="25"/>
      <c r="E26" s="25"/>
      <c r="F26" s="25"/>
      <c r="G26" s="64"/>
      <c r="H26" s="96"/>
      <c r="I26" t="s" s="94">
        <v>58</v>
      </c>
      <c r="J26" s="97"/>
      <c r="K26" s="98"/>
      <c r="L26" s="25"/>
      <c r="M26" s="25"/>
      <c r="N26" s="25"/>
      <c r="O26" s="25"/>
    </row>
    <row r="27" ht="15" customHeight="1">
      <c r="A27" s="25"/>
      <c r="B27" s="25"/>
      <c r="C27" s="25"/>
      <c r="D27" s="25"/>
      <c r="E27" s="25"/>
      <c r="F27" s="25"/>
      <c r="G27" s="42"/>
      <c r="H27" s="70"/>
      <c r="I27" t="s" s="94">
        <v>59</v>
      </c>
      <c r="J27" s="97"/>
      <c r="K27" s="98"/>
      <c r="L27" s="25"/>
      <c r="M27" s="25"/>
      <c r="N27" s="25"/>
      <c r="O27" s="25"/>
    </row>
    <row r="28" ht="15" customHeight="1">
      <c r="A28" s="25"/>
      <c r="B28" s="25"/>
      <c r="C28" s="25"/>
      <c r="D28" s="25"/>
      <c r="E28" s="25"/>
      <c r="F28" s="25"/>
      <c r="G28" s="42"/>
      <c r="H28" s="42"/>
      <c r="I28" s="99"/>
      <c r="J28" s="99"/>
      <c r="K28" s="25"/>
      <c r="L28" s="25"/>
      <c r="M28" s="25"/>
      <c r="N28" s="25"/>
      <c r="O28" s="25"/>
    </row>
    <row r="29" ht="15" customHeight="1">
      <c r="A29" s="25"/>
      <c r="B29" s="25"/>
      <c r="C29" s="25"/>
      <c r="D29" s="25"/>
      <c r="E29" s="25"/>
      <c r="F29" s="25"/>
      <c r="G29" s="42"/>
      <c r="H29" s="42"/>
      <c r="I29" s="43"/>
      <c r="J29" s="43"/>
      <c r="K29" s="25"/>
      <c r="L29" s="25"/>
      <c r="M29" s="25"/>
      <c r="N29" s="25"/>
      <c r="O29" s="25"/>
    </row>
    <row r="30" ht="15.6" customHeight="1">
      <c r="A30" s="25"/>
      <c r="B30" s="25"/>
      <c r="C30" s="25"/>
      <c r="D30" s="25"/>
      <c r="E30" s="25"/>
      <c r="F30" s="25"/>
      <c r="G30" s="100"/>
      <c r="H30" s="100"/>
      <c r="I30" s="101"/>
      <c r="J30" s="101"/>
      <c r="K30" s="25"/>
      <c r="L30" s="25"/>
      <c r="M30" s="25"/>
      <c r="N30" s="25"/>
      <c r="O30" s="25"/>
    </row>
    <row r="31" ht="15" customHeight="1">
      <c r="A31" s="25"/>
      <c r="B31" s="25"/>
      <c r="C31" s="25"/>
      <c r="D31" s="25"/>
      <c r="E31" s="25"/>
      <c r="F31" s="102"/>
      <c r="G31" s="103"/>
      <c r="H31" t="s" s="104">
        <v>60</v>
      </c>
      <c r="I31" t="s" s="104">
        <v>61</v>
      </c>
      <c r="J31" t="s" s="105">
        <v>38</v>
      </c>
      <c r="K31" s="106"/>
      <c r="L31" s="25"/>
      <c r="M31" s="25"/>
      <c r="N31" s="25"/>
      <c r="O31" s="25"/>
    </row>
    <row r="32" ht="15" customHeight="1">
      <c r="A32" s="25"/>
      <c r="B32" s="25"/>
      <c r="C32" s="25"/>
      <c r="D32" s="25"/>
      <c r="E32" s="25"/>
      <c r="F32" s="102"/>
      <c r="G32" t="s" s="107">
        <v>62</v>
      </c>
      <c r="H32" s="108"/>
      <c r="I32" s="91"/>
      <c r="J32" s="109"/>
      <c r="K32" s="106"/>
      <c r="L32" s="25"/>
      <c r="M32" s="25"/>
      <c r="N32" s="25"/>
      <c r="O32" s="25"/>
    </row>
    <row r="33" ht="15" customHeight="1">
      <c r="A33" s="25"/>
      <c r="B33" s="25"/>
      <c r="C33" s="25"/>
      <c r="D33" s="25"/>
      <c r="E33" s="25"/>
      <c r="F33" s="102"/>
      <c r="G33" t="s" s="107">
        <v>63</v>
      </c>
      <c r="H33" s="110"/>
      <c r="I33" s="91"/>
      <c r="J33" s="109"/>
      <c r="K33" s="106"/>
      <c r="L33" s="25"/>
      <c r="M33" s="25"/>
      <c r="N33" s="25"/>
      <c r="O33" s="25"/>
    </row>
    <row r="34" ht="15" customHeight="1">
      <c r="A34" s="25"/>
      <c r="B34" s="25"/>
      <c r="C34" s="25"/>
      <c r="D34" s="25"/>
      <c r="E34" s="25"/>
      <c r="F34" s="102"/>
      <c r="G34" t="s" s="107">
        <v>64</v>
      </c>
      <c r="H34" s="108"/>
      <c r="I34" s="91"/>
      <c r="J34" s="109"/>
      <c r="K34" s="106"/>
      <c r="L34" s="25"/>
      <c r="M34" s="25"/>
      <c r="N34" s="25"/>
      <c r="O34" s="25"/>
    </row>
    <row r="35" ht="15.6" customHeight="1">
      <c r="A35" s="25"/>
      <c r="B35" s="25"/>
      <c r="C35" s="25"/>
      <c r="D35" s="25"/>
      <c r="E35" s="25"/>
      <c r="F35" s="102"/>
      <c r="G35" t="s" s="107">
        <v>65</v>
      </c>
      <c r="H35" s="111"/>
      <c r="I35" s="112"/>
      <c r="J35" s="113"/>
      <c r="K35" s="106"/>
      <c r="L35" s="25"/>
      <c r="M35" s="25"/>
      <c r="N35" s="25"/>
      <c r="O35" s="25"/>
    </row>
    <row r="36" ht="15" customHeight="1">
      <c r="A36" s="25"/>
      <c r="B36" s="25"/>
      <c r="C36" s="25"/>
      <c r="D36" s="25"/>
      <c r="E36" s="25"/>
      <c r="F36" s="25"/>
      <c r="G36" s="76"/>
      <c r="H36" s="114"/>
      <c r="I36" s="114"/>
      <c r="J36" s="114"/>
      <c r="K36" s="25"/>
      <c r="L36" s="25"/>
      <c r="M36" s="25"/>
      <c r="N36" s="25"/>
      <c r="O36" s="25"/>
    </row>
    <row r="37" ht="15" customHeight="1">
      <c r="A37" s="25"/>
      <c r="B37" s="25"/>
      <c r="C37" s="25"/>
      <c r="D37" s="25"/>
      <c r="E37" s="25"/>
      <c r="F37" s="37"/>
      <c r="G37" t="s" s="115">
        <v>66</v>
      </c>
      <c r="H37" s="39"/>
      <c r="I37" s="116"/>
      <c r="J37" s="117"/>
      <c r="K37" s="98"/>
      <c r="L37" s="25"/>
      <c r="M37" s="25"/>
      <c r="N37" s="25"/>
      <c r="O37" s="2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O37"/>
  <sheetViews>
    <sheetView workbookViewId="0" showGridLines="0" defaultGridColor="1"/>
  </sheetViews>
  <sheetFormatPr defaultColWidth="10.8333" defaultRowHeight="13.2" customHeight="1" outlineLevelRow="0" outlineLevelCol="0"/>
  <cols>
    <col min="1" max="2" width="4.67188" style="118" customWidth="1"/>
    <col min="3" max="3" width="65.1719" style="118" customWidth="1"/>
    <col min="4" max="4" width="52.5" style="118" customWidth="1"/>
    <col min="5" max="5" width="10.8516" style="118" customWidth="1"/>
    <col min="6" max="6" width="26.8516" style="118" customWidth="1"/>
    <col min="7" max="7" width="13.5" style="118" customWidth="1"/>
    <col min="8" max="8" width="13.3516" style="118" customWidth="1"/>
    <col min="9" max="9" width="19.6719" style="118" customWidth="1"/>
    <col min="10" max="10" width="17.6719" style="118" customWidth="1"/>
    <col min="11" max="14" width="10.8516" style="118" customWidth="1"/>
    <col min="15" max="15" width="12.5" style="118" customWidth="1"/>
    <col min="16" max="16384" width="10.8516" style="118" customWidth="1"/>
  </cols>
  <sheetData>
    <row r="1" ht="24.6" customHeight="1">
      <c r="A1" s="25"/>
      <c r="B1" s="25"/>
      <c r="C1" t="s" s="119">
        <v>28</v>
      </c>
      <c r="D1" s="25"/>
      <c r="E1" s="25"/>
      <c r="F1" s="27"/>
      <c r="G1" s="28"/>
      <c r="H1" s="28"/>
      <c r="I1" s="25"/>
      <c r="J1" s="25"/>
      <c r="K1" s="25"/>
      <c r="L1" s="25"/>
      <c r="M1" s="25"/>
      <c r="N1" s="25"/>
      <c r="O1" s="25"/>
    </row>
    <row r="2" ht="13.8" customHeight="1">
      <c r="A2" s="25"/>
      <c r="B2" s="25"/>
      <c r="C2" s="120"/>
      <c r="D2" s="121"/>
      <c r="E2" s="31"/>
      <c r="F2" s="32"/>
      <c r="G2" s="33"/>
      <c r="H2" s="33"/>
      <c r="I2" s="31"/>
      <c r="J2" s="32"/>
      <c r="K2" s="34"/>
      <c r="L2" s="35"/>
      <c r="M2" s="36"/>
      <c r="N2" s="36"/>
      <c r="O2" s="36"/>
    </row>
    <row r="3" ht="15.6" customHeight="1">
      <c r="A3" s="25"/>
      <c r="B3" s="102"/>
      <c r="C3" t="s" s="122">
        <v>29</v>
      </c>
      <c r="D3" t="s" s="123">
        <v>68</v>
      </c>
      <c r="E3" s="40"/>
      <c r="F3" s="41"/>
      <c r="G3" s="42"/>
      <c r="H3" s="43"/>
      <c r="I3" s="43"/>
      <c r="J3" s="43"/>
      <c r="K3" s="43"/>
      <c r="L3" s="44"/>
      <c r="M3" s="43"/>
      <c r="N3" s="43"/>
      <c r="O3" s="43"/>
    </row>
    <row r="4" ht="15.6" customHeight="1">
      <c r="A4" s="25"/>
      <c r="B4" s="102"/>
      <c r="C4" t="s" s="124">
        <v>30</v>
      </c>
      <c r="D4" t="s" s="125">
        <v>69</v>
      </c>
      <c r="E4" s="126"/>
      <c r="F4" s="41"/>
      <c r="G4" s="42"/>
      <c r="H4" s="46"/>
      <c r="I4" s="43"/>
      <c r="J4" s="47"/>
      <c r="K4" s="43"/>
      <c r="L4" s="44"/>
      <c r="M4" s="43"/>
      <c r="N4" s="43"/>
      <c r="O4" s="43"/>
    </row>
    <row r="5" ht="15.6" customHeight="1">
      <c r="A5" s="25"/>
      <c r="B5" s="102"/>
      <c r="C5" t="s" s="124">
        <v>31</v>
      </c>
      <c r="D5" s="127"/>
      <c r="E5" s="126"/>
      <c r="F5" s="41"/>
      <c r="G5" s="42"/>
      <c r="H5" s="43"/>
      <c r="I5" s="48"/>
      <c r="J5" s="43"/>
      <c r="K5" s="43"/>
      <c r="L5" s="44"/>
      <c r="M5" s="43"/>
      <c r="N5" s="43"/>
      <c r="O5" s="43"/>
    </row>
    <row r="6" ht="16.2" customHeight="1">
      <c r="A6" s="25"/>
      <c r="B6" s="102"/>
      <c r="C6" t="s" s="128">
        <v>32</v>
      </c>
      <c r="D6" s="129" cm="1">
        <f t="array" ref="D6">TODAY()</f>
        <v>46254</v>
      </c>
      <c r="E6" s="126"/>
      <c r="F6" s="41"/>
      <c r="G6" s="42"/>
      <c r="H6" s="46"/>
      <c r="I6" s="48"/>
      <c r="J6" s="43"/>
      <c r="K6" s="43"/>
      <c r="L6" s="50"/>
      <c r="M6" s="51"/>
      <c r="N6" s="51"/>
      <c r="O6" s="43"/>
    </row>
    <row r="7" ht="15.6" customHeight="1">
      <c r="A7" s="25"/>
      <c r="B7" s="102"/>
      <c r="C7" t="s" s="123">
        <v>33</v>
      </c>
      <c r="D7" t="s" s="130">
        <v>70</v>
      </c>
      <c r="E7" s="126"/>
      <c r="F7" s="41"/>
      <c r="G7" s="42"/>
      <c r="H7" s="43"/>
      <c r="I7" s="43"/>
      <c r="J7" s="43"/>
      <c r="K7" s="43"/>
      <c r="L7" s="50"/>
      <c r="M7" s="43"/>
      <c r="N7" s="43"/>
      <c r="O7" s="43"/>
    </row>
    <row r="8" ht="15.6" customHeight="1">
      <c r="A8" s="25"/>
      <c r="B8" s="102"/>
      <c r="C8" t="s" s="124">
        <v>34</v>
      </c>
      <c r="D8" s="131"/>
      <c r="E8" s="126"/>
      <c r="F8" s="53"/>
      <c r="G8" s="54"/>
      <c r="H8" s="46"/>
      <c r="I8" s="43"/>
      <c r="J8" s="43"/>
      <c r="K8" s="43"/>
      <c r="L8" s="55"/>
      <c r="M8" s="43"/>
      <c r="N8" s="43"/>
      <c r="O8" s="43"/>
    </row>
    <row r="9" ht="16.2" customHeight="1">
      <c r="A9" s="25"/>
      <c r="B9" s="102"/>
      <c r="C9" t="s" s="128">
        <v>35</v>
      </c>
      <c r="D9" s="132"/>
      <c r="E9" s="133"/>
      <c r="F9" t="s" s="134">
        <v>36</v>
      </c>
      <c r="G9" s="135">
        <v>39400</v>
      </c>
      <c r="H9" s="58"/>
      <c r="I9" s="43"/>
      <c r="J9" s="47"/>
      <c r="K9" s="47"/>
      <c r="L9" s="55"/>
      <c r="M9" s="51"/>
      <c r="N9" s="51"/>
      <c r="O9" s="43"/>
    </row>
    <row r="10" ht="15.6" customHeight="1">
      <c r="A10" s="25"/>
      <c r="B10" s="102"/>
      <c r="C10" t="s" s="123">
        <v>37</v>
      </c>
      <c r="D10" t="s" s="136">
        <v>71</v>
      </c>
      <c r="E10" s="133"/>
      <c r="F10" t="s" s="134">
        <v>38</v>
      </c>
      <c r="G10" s="137">
        <v>1000</v>
      </c>
      <c r="H10" s="60"/>
      <c r="I10" s="43"/>
      <c r="J10" s="43"/>
      <c r="K10" s="47"/>
      <c r="L10" s="43"/>
      <c r="M10" s="43"/>
      <c r="N10" s="43"/>
      <c r="O10" s="43"/>
    </row>
    <row r="11" ht="15.6" customHeight="1">
      <c r="A11" s="25"/>
      <c r="B11" s="102"/>
      <c r="C11" t="s" s="124">
        <v>39</v>
      </c>
      <c r="D11" t="s" s="138">
        <v>72</v>
      </c>
      <c r="E11" s="133"/>
      <c r="F11" t="s" s="134">
        <v>40</v>
      </c>
      <c r="G11" s="137">
        <v>0.03264</v>
      </c>
      <c r="H11" s="58"/>
      <c r="I11" s="43"/>
      <c r="J11" s="43"/>
      <c r="K11" s="47"/>
      <c r="L11" s="55"/>
      <c r="M11" s="43"/>
      <c r="N11" s="43"/>
      <c r="O11" s="43"/>
    </row>
    <row r="12" ht="15.6" customHeight="1">
      <c r="A12" s="25"/>
      <c r="B12" s="102"/>
      <c r="C12" t="s" s="124">
        <v>41</v>
      </c>
      <c r="D12" s="139"/>
      <c r="E12" s="126"/>
      <c r="F12" s="62"/>
      <c r="G12" s="63"/>
      <c r="H12" s="51"/>
      <c r="I12" s="43"/>
      <c r="J12" s="43"/>
      <c r="K12" s="47"/>
      <c r="L12" s="43"/>
      <c r="M12" s="43"/>
      <c r="N12" s="43"/>
      <c r="O12" s="43"/>
    </row>
    <row r="13" ht="15.6" customHeight="1">
      <c r="A13" s="25"/>
      <c r="B13" s="102"/>
      <c r="C13" t="s" s="124">
        <v>42</v>
      </c>
      <c r="D13" s="140">
        <v>2481</v>
      </c>
      <c r="E13" s="126"/>
      <c r="F13" s="64"/>
      <c r="G13" s="42"/>
      <c r="H13" s="65"/>
      <c r="I13" s="43"/>
      <c r="J13" s="43"/>
      <c r="K13" s="47"/>
      <c r="L13" s="55"/>
      <c r="M13" s="43"/>
      <c r="N13" s="43"/>
      <c r="O13" s="43"/>
    </row>
    <row r="14" ht="16.2" customHeight="1">
      <c r="A14" s="25"/>
      <c r="B14" s="102"/>
      <c r="C14" t="s" s="128">
        <v>43</v>
      </c>
      <c r="D14" s="141">
        <v>784</v>
      </c>
      <c r="E14" s="126"/>
      <c r="F14" s="64"/>
      <c r="G14" s="42"/>
      <c r="H14" s="51"/>
      <c r="I14" s="43"/>
      <c r="J14" s="43"/>
      <c r="K14" s="47"/>
      <c r="L14" s="43"/>
      <c r="M14" s="43"/>
      <c r="N14" s="43"/>
      <c r="O14" s="43"/>
    </row>
    <row r="15" ht="15.6" customHeight="1">
      <c r="A15" s="25"/>
      <c r="B15" s="102"/>
      <c r="C15" t="s" s="123">
        <v>44</v>
      </c>
      <c r="D15" s="142"/>
      <c r="E15" s="126"/>
      <c r="F15" s="66"/>
      <c r="G15" s="42"/>
      <c r="H15" s="65"/>
      <c r="I15" s="43"/>
      <c r="J15" s="43"/>
      <c r="K15" s="47"/>
      <c r="L15" s="55"/>
      <c r="M15" s="43"/>
      <c r="N15" s="43"/>
      <c r="O15" s="43"/>
    </row>
    <row r="16" ht="15.6" customHeight="1">
      <c r="A16" s="25"/>
      <c r="B16" s="102"/>
      <c r="C16" t="s" s="124">
        <v>45</v>
      </c>
      <c r="D16" t="s" s="125">
        <v>73</v>
      </c>
      <c r="E16" s="126"/>
      <c r="F16" s="66"/>
      <c r="G16" s="42"/>
      <c r="H16" s="51"/>
      <c r="I16" s="43"/>
      <c r="J16" s="43"/>
      <c r="K16" s="47"/>
      <c r="L16" s="43"/>
      <c r="M16" s="43"/>
      <c r="N16" s="43"/>
      <c r="O16" s="43"/>
    </row>
    <row r="17" ht="16.2" customHeight="1">
      <c r="A17" s="25"/>
      <c r="B17" s="102"/>
      <c r="C17" t="s" s="128">
        <v>46</v>
      </c>
      <c r="D17" s="143"/>
      <c r="E17" s="126"/>
      <c r="F17" s="66"/>
      <c r="G17" s="42"/>
      <c r="H17" s="65"/>
      <c r="I17" s="67"/>
      <c r="J17" s="43"/>
      <c r="K17" s="47"/>
      <c r="L17" s="55"/>
      <c r="M17" s="43"/>
      <c r="N17" s="43"/>
      <c r="O17" s="43"/>
    </row>
    <row r="18" ht="15.6" customHeight="1">
      <c r="A18" s="25"/>
      <c r="B18" s="102"/>
      <c r="C18" t="s" s="123">
        <v>47</v>
      </c>
      <c r="D18" s="144"/>
      <c r="E18" s="126"/>
      <c r="F18" s="69"/>
      <c r="G18" s="42"/>
      <c r="H18" s="70"/>
      <c r="I18" s="71"/>
      <c r="J18" s="72"/>
      <c r="K18" s="43"/>
      <c r="L18" s="43"/>
      <c r="M18" s="43"/>
      <c r="N18" s="43"/>
      <c r="O18" s="43"/>
    </row>
    <row r="19" ht="16.2" customHeight="1">
      <c r="A19" s="25"/>
      <c r="B19" s="102"/>
      <c r="C19" t="s" s="128">
        <v>48</v>
      </c>
      <c r="D19" s="145"/>
      <c r="E19" s="126"/>
      <c r="F19" s="64"/>
      <c r="G19" s="73"/>
      <c r="H19" s="43"/>
      <c r="I19" s="74"/>
      <c r="J19" s="75"/>
      <c r="K19" s="55"/>
      <c r="L19" s="43"/>
      <c r="M19" s="43"/>
      <c r="N19" s="43"/>
      <c r="O19" s="43"/>
    </row>
    <row r="20" ht="15.6" customHeight="1">
      <c r="A20" s="25"/>
      <c r="B20" s="25"/>
      <c r="C20" s="114"/>
      <c r="D20" s="114"/>
      <c r="E20" s="67"/>
      <c r="F20" s="77"/>
      <c r="G20" s="78"/>
      <c r="H20" s="79"/>
      <c r="I20" s="80"/>
      <c r="J20" s="81"/>
      <c r="K20" s="82"/>
      <c r="L20" s="67"/>
      <c r="M20" s="67"/>
      <c r="N20" s="67"/>
      <c r="O20" s="67"/>
    </row>
    <row r="21" ht="46.8" customHeight="1">
      <c r="A21" s="25"/>
      <c r="B21" s="37"/>
      <c r="C21" t="s" s="146">
        <v>49</v>
      </c>
      <c r="D21" t="s" s="146">
        <v>50</v>
      </c>
      <c r="E21" t="s" s="147">
        <v>51</v>
      </c>
      <c r="F21" t="s" s="148">
        <v>52</v>
      </c>
      <c r="G21" t="s" s="148">
        <v>9</v>
      </c>
      <c r="H21" t="s" s="148">
        <v>11</v>
      </c>
      <c r="I21" t="s" s="148">
        <v>17</v>
      </c>
      <c r="J21" t="s" s="148">
        <v>19</v>
      </c>
      <c r="K21" t="s" s="148">
        <v>13</v>
      </c>
      <c r="L21" t="s" s="148">
        <v>15</v>
      </c>
      <c r="M21" t="s" s="148">
        <v>16</v>
      </c>
      <c r="N21" t="s" s="148">
        <v>21</v>
      </c>
      <c r="O21" t="s" s="149">
        <v>23</v>
      </c>
    </row>
    <row r="22" ht="15.6" customHeight="1">
      <c r="A22" s="25"/>
      <c r="B22" s="37"/>
      <c r="C22" s="150">
        <v>423509</v>
      </c>
      <c r="D22" t="s" s="151">
        <v>53</v>
      </c>
      <c r="E22" s="152">
        <v>100</v>
      </c>
      <c r="F22" s="153">
        <v>1479</v>
      </c>
      <c r="G22" s="87" cm="1">
        <f t="array" ref="G22">F22-(F22*$H22)</f>
        <v>665.55</v>
      </c>
      <c r="H22" s="88">
        <v>0.55</v>
      </c>
      <c r="I22" s="71" cm="1">
        <f t="array" ref="I22">(G22*K22/L22)*M22</f>
        <v>0.551359187817259</v>
      </c>
      <c r="J22" s="71" cm="1">
        <f t="array" ref="J22">I22*E22</f>
        <v>55.1359187817259</v>
      </c>
      <c r="K22" s="59" cm="1">
        <f t="array" ref="K22">$G$10</f>
        <v>1000</v>
      </c>
      <c r="L22" s="89" cm="1">
        <f t="array" ref="L22">$G$9</f>
        <v>39400</v>
      </c>
      <c r="M22" s="90" cm="1">
        <f t="array" ref="M22">$G$11</f>
        <v>0.03264</v>
      </c>
      <c r="N22" s="91" cm="1">
        <f t="array" ref="N22">G22*E22</f>
        <v>66555</v>
      </c>
      <c r="O22" s="91" cm="1">
        <f t="array" ref="O22">N22*$G$10</f>
        <v>66555000</v>
      </c>
    </row>
    <row r="23" ht="15.6" customHeight="1">
      <c r="A23" s="25"/>
      <c r="B23" s="37"/>
      <c r="C23" s="150">
        <v>423524</v>
      </c>
      <c r="D23" t="s" s="151">
        <v>54</v>
      </c>
      <c r="E23" s="152">
        <v>9</v>
      </c>
      <c r="F23" s="153">
        <v>310</v>
      </c>
      <c r="G23" s="87" cm="1">
        <f t="array" ref="G23">F23-(F23*$H23)</f>
        <v>186</v>
      </c>
      <c r="H23" s="88">
        <v>0.4</v>
      </c>
      <c r="I23" s="71" cm="1">
        <f t="array" ref="I23">(G23*K23/L23)*M23</f>
        <v>0.15408730964467</v>
      </c>
      <c r="J23" s="71" cm="1">
        <f t="array" ref="J23">I23*E23</f>
        <v>1.38678578680203</v>
      </c>
      <c r="K23" s="59" cm="1">
        <f t="array" ref="K23">$G$10</f>
        <v>1000</v>
      </c>
      <c r="L23" s="89" cm="1">
        <f t="array" ref="L23">$G$9</f>
        <v>39400</v>
      </c>
      <c r="M23" s="90" cm="1">
        <f t="array" ref="M23">$G$11</f>
        <v>0.03264</v>
      </c>
      <c r="N23" s="91" cm="1">
        <f t="array" ref="N23">G23*E23</f>
        <v>1674</v>
      </c>
      <c r="O23" s="91" cm="1">
        <f t="array" ref="O23">N23*$G$10</f>
        <v>1674000</v>
      </c>
    </row>
    <row r="24" ht="16.2" customHeight="1">
      <c r="A24" s="25"/>
      <c r="B24" s="37"/>
      <c r="C24" t="s" s="151">
        <v>55</v>
      </c>
      <c r="D24" t="s" s="151">
        <v>56</v>
      </c>
      <c r="E24" s="152">
        <v>100</v>
      </c>
      <c r="F24" s="153">
        <v>209</v>
      </c>
      <c r="G24" s="87" cm="1">
        <f t="array" ref="G24">F24-(F24*$H24)</f>
        <v>167.2</v>
      </c>
      <c r="H24" s="88">
        <v>0.2</v>
      </c>
      <c r="I24" s="154" cm="1">
        <f t="array" ref="I24">(G24*K24/L24)*M24</f>
        <v>0.138512893401015</v>
      </c>
      <c r="J24" s="154" cm="1">
        <f t="array" ref="J24">I24*E24</f>
        <v>13.8512893401015</v>
      </c>
      <c r="K24" s="59" cm="1">
        <f t="array" ref="K24">$G$10</f>
        <v>1000</v>
      </c>
      <c r="L24" s="89" cm="1">
        <f t="array" ref="L24">$G$9</f>
        <v>39400</v>
      </c>
      <c r="M24" s="90" cm="1">
        <f t="array" ref="M24">$G$11</f>
        <v>0.03264</v>
      </c>
      <c r="N24" s="91" cm="1">
        <f t="array" ref="N24">G24*E24</f>
        <v>16720</v>
      </c>
      <c r="O24" s="91" cm="1">
        <f t="array" ref="O24">N24*$G$10</f>
        <v>16720000</v>
      </c>
    </row>
    <row r="25" ht="15.6" customHeight="1">
      <c r="A25" s="25"/>
      <c r="B25" s="25"/>
      <c r="C25" s="92"/>
      <c r="D25" s="92"/>
      <c r="E25" s="92"/>
      <c r="F25" s="92"/>
      <c r="G25" s="62"/>
      <c r="H25" s="155"/>
      <c r="I25" t="s" s="156">
        <v>57</v>
      </c>
      <c r="J25" s="157" cm="1">
        <f t="array" ref="J25">SUM(J22:J24)</f>
        <v>70.3739939086294</v>
      </c>
      <c r="K25" s="158"/>
      <c r="L25" s="92"/>
      <c r="M25" s="92"/>
      <c r="N25" s="92"/>
      <c r="O25" s="92"/>
    </row>
    <row r="26" ht="15.6" customHeight="1">
      <c r="A26" s="25"/>
      <c r="B26" s="25"/>
      <c r="C26" s="25"/>
      <c r="D26" s="25"/>
      <c r="E26" s="25"/>
      <c r="F26" s="25"/>
      <c r="G26" s="64"/>
      <c r="H26" s="159"/>
      <c r="I26" t="s" s="160">
        <v>58</v>
      </c>
      <c r="J26" s="161" cm="1">
        <f t="array" ref="J26">$J$25*$G$9</f>
        <v>2772735.36</v>
      </c>
      <c r="K26" s="106"/>
      <c r="L26" s="25"/>
      <c r="M26" s="25"/>
      <c r="N26" s="25"/>
      <c r="O26" s="25"/>
    </row>
    <row r="27" ht="16.2" customHeight="1">
      <c r="A27" s="25"/>
      <c r="B27" s="25"/>
      <c r="C27" s="25"/>
      <c r="D27" s="25"/>
      <c r="E27" s="25"/>
      <c r="F27" s="25"/>
      <c r="G27" s="42"/>
      <c r="H27" s="162"/>
      <c r="I27" t="s" s="163">
        <v>59</v>
      </c>
      <c r="J27" s="164" cm="1">
        <f t="array" ref="J27">J26/$G$10</f>
        <v>2772.73536</v>
      </c>
      <c r="K27" s="106"/>
      <c r="L27" s="25"/>
      <c r="M27" s="25"/>
      <c r="N27" s="25"/>
      <c r="O27" s="25"/>
    </row>
    <row r="28" ht="15" customHeight="1">
      <c r="A28" s="25"/>
      <c r="B28" s="25"/>
      <c r="C28" s="25"/>
      <c r="D28" s="25"/>
      <c r="E28" s="25"/>
      <c r="F28" s="25"/>
      <c r="G28" s="42"/>
      <c r="H28" s="42"/>
      <c r="I28" s="165"/>
      <c r="J28" s="165"/>
      <c r="K28" s="25"/>
      <c r="L28" s="25"/>
      <c r="M28" s="25"/>
      <c r="N28" s="25"/>
      <c r="O28" s="25"/>
    </row>
    <row r="29" ht="15" customHeight="1">
      <c r="A29" s="25"/>
      <c r="B29" s="25"/>
      <c r="C29" s="25"/>
      <c r="D29" s="25"/>
      <c r="E29" s="25"/>
      <c r="F29" s="25"/>
      <c r="G29" s="42"/>
      <c r="H29" s="42"/>
      <c r="I29" s="43"/>
      <c r="J29" s="43"/>
      <c r="K29" s="25"/>
      <c r="L29" s="25"/>
      <c r="M29" s="25"/>
      <c r="N29" s="25"/>
      <c r="O29" s="25"/>
    </row>
    <row r="30" ht="15.6" customHeight="1">
      <c r="A30" s="25"/>
      <c r="B30" s="25"/>
      <c r="C30" s="25"/>
      <c r="D30" s="25"/>
      <c r="E30" s="25"/>
      <c r="F30" s="25"/>
      <c r="G30" s="100"/>
      <c r="H30" s="100"/>
      <c r="I30" s="101"/>
      <c r="J30" s="101"/>
      <c r="K30" s="25"/>
      <c r="L30" s="25"/>
      <c r="M30" s="25"/>
      <c r="N30" s="25"/>
      <c r="O30" s="25"/>
    </row>
    <row r="31" ht="15.6" customHeight="1">
      <c r="A31" s="25"/>
      <c r="B31" s="25"/>
      <c r="C31" s="25"/>
      <c r="D31" s="25"/>
      <c r="E31" s="25"/>
      <c r="F31" s="102"/>
      <c r="G31" s="103"/>
      <c r="H31" t="s" s="166">
        <v>60</v>
      </c>
      <c r="I31" t="s" s="166">
        <v>61</v>
      </c>
      <c r="J31" t="s" s="167">
        <v>38</v>
      </c>
      <c r="K31" s="106"/>
      <c r="L31" s="25"/>
      <c r="M31" s="25"/>
      <c r="N31" s="25"/>
      <c r="O31" s="25"/>
    </row>
    <row r="32" ht="15.6" customHeight="1">
      <c r="A32" s="25"/>
      <c r="B32" s="25"/>
      <c r="C32" s="25"/>
      <c r="D32" s="25"/>
      <c r="E32" s="25"/>
      <c r="F32" s="102"/>
      <c r="G32" t="s" s="168">
        <v>62</v>
      </c>
      <c r="H32" s="169" cm="1">
        <f t="array" ref="H32">J25</f>
        <v>70.3739939086294</v>
      </c>
      <c r="I32" s="91" cm="1">
        <f t="array" ref="I32">H32*$G$9</f>
        <v>2772735.36</v>
      </c>
      <c r="J32" s="109" cm="1">
        <f t="array" ref="J32">I32/$G$10</f>
        <v>2772.73536</v>
      </c>
      <c r="K32" s="106"/>
      <c r="L32" s="25"/>
      <c r="M32" s="25"/>
      <c r="N32" s="25"/>
      <c r="O32" s="25"/>
    </row>
    <row r="33" ht="15.6" customHeight="1">
      <c r="A33" s="25"/>
      <c r="B33" s="25"/>
      <c r="C33" s="25"/>
      <c r="D33" s="25"/>
      <c r="E33" s="25"/>
      <c r="F33" s="102"/>
      <c r="G33" t="s" s="168">
        <v>63</v>
      </c>
      <c r="H33" s="170"/>
      <c r="I33" s="91" cm="1">
        <f t="array" ref="I33">H33*$G$9</f>
        <v>0</v>
      </c>
      <c r="J33" s="109" cm="1">
        <f t="array" ref="J33">I33/$G$10</f>
        <v>0</v>
      </c>
      <c r="K33" s="106"/>
      <c r="L33" s="25"/>
      <c r="M33" s="25"/>
      <c r="N33" s="25"/>
      <c r="O33" s="25"/>
    </row>
    <row r="34" ht="15.6" customHeight="1">
      <c r="A34" s="25"/>
      <c r="B34" s="25"/>
      <c r="C34" s="25"/>
      <c r="D34" s="25"/>
      <c r="E34" s="25"/>
      <c r="F34" s="102"/>
      <c r="G34" t="s" s="168">
        <v>64</v>
      </c>
      <c r="H34" s="169"/>
      <c r="I34" s="91" cm="1">
        <f t="array" ref="I34">H34*$G$9</f>
        <v>0</v>
      </c>
      <c r="J34" s="109" cm="1">
        <f t="array" ref="J34">I34/$G$10</f>
        <v>0</v>
      </c>
      <c r="K34" s="106"/>
      <c r="L34" s="25"/>
      <c r="M34" s="25"/>
      <c r="N34" s="25"/>
      <c r="O34" s="25"/>
    </row>
    <row r="35" ht="16.2" customHeight="1">
      <c r="A35" s="25"/>
      <c r="B35" s="25"/>
      <c r="C35" s="25"/>
      <c r="D35" s="25"/>
      <c r="E35" s="25"/>
      <c r="F35" s="102"/>
      <c r="G35" t="s" s="168">
        <v>65</v>
      </c>
      <c r="H35" s="171" cm="1">
        <f t="array" ref="H35">SUM(H32:H34)</f>
        <v>70.3739939086294</v>
      </c>
      <c r="I35" s="112" cm="1">
        <f t="array" ref="I35">H35*$G$9</f>
        <v>2772735.36</v>
      </c>
      <c r="J35" s="113" cm="1">
        <f t="array" ref="J35">I35/$G$10</f>
        <v>2772.73536</v>
      </c>
      <c r="K35" s="106"/>
      <c r="L35" s="25"/>
      <c r="M35" s="25"/>
      <c r="N35" s="25"/>
      <c r="O35" s="25"/>
    </row>
    <row r="36" ht="15" customHeight="1">
      <c r="A36" s="25"/>
      <c r="B36" s="25"/>
      <c r="C36" s="25"/>
      <c r="D36" s="25"/>
      <c r="E36" s="25"/>
      <c r="F36" s="25"/>
      <c r="G36" s="76"/>
      <c r="H36" s="114"/>
      <c r="I36" s="114"/>
      <c r="J36" s="114"/>
      <c r="K36" s="25"/>
      <c r="L36" s="25"/>
      <c r="M36" s="25"/>
      <c r="N36" s="25"/>
      <c r="O36" s="25"/>
    </row>
    <row r="37" ht="15.6" customHeight="1">
      <c r="A37" s="25"/>
      <c r="B37" s="25"/>
      <c r="C37" s="25"/>
      <c r="D37" s="25"/>
      <c r="E37" s="25"/>
      <c r="F37" s="37"/>
      <c r="G37" t="s" s="172">
        <v>66</v>
      </c>
      <c r="H37" s="173"/>
      <c r="I37" s="116" cm="1">
        <f t="array" ref="I37">SUM(O22:O24)</f>
        <v>84949000</v>
      </c>
      <c r="J37" s="174" cm="1">
        <f t="array" ref="J37">SUM(N22:N24)</f>
        <v>84949</v>
      </c>
      <c r="K37" s="98"/>
      <c r="L37" s="25"/>
      <c r="M37" s="25"/>
      <c r="N37" s="25"/>
      <c r="O37" s="2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8333" defaultRowHeight="13.2" customHeight="1" outlineLevelRow="0" outlineLevelCol="0"/>
  <cols>
    <col min="1" max="1" width="26.8516" style="175" customWidth="1"/>
    <col min="2" max="2" width="52.5" style="175" customWidth="1"/>
    <col min="3" max="3" width="4.67188" style="175" customWidth="1"/>
    <col min="4" max="4" width="13.1719" style="175" customWidth="1"/>
    <col min="5" max="5" width="10.8516" style="175" customWidth="1"/>
    <col min="6" max="16384" width="10.8516" style="175" customWidth="1"/>
  </cols>
  <sheetData>
    <row r="1" ht="15.6" customHeight="1">
      <c r="A1" s="150">
        <v>423509</v>
      </c>
      <c r="B1" t="s" s="151">
        <v>53</v>
      </c>
      <c r="C1" s="152">
        <v>100</v>
      </c>
      <c r="D1" s="153">
        <v>1479</v>
      </c>
      <c r="E1" s="98"/>
    </row>
    <row r="2" ht="15.6" customHeight="1">
      <c r="A2" s="150">
        <v>423524</v>
      </c>
      <c r="B2" t="s" s="151">
        <v>54</v>
      </c>
      <c r="C2" s="152">
        <v>9</v>
      </c>
      <c r="D2" s="153">
        <v>310</v>
      </c>
      <c r="E2" s="98"/>
    </row>
    <row r="3" ht="15.6" customHeight="1">
      <c r="A3" s="150">
        <v>423525</v>
      </c>
      <c r="B3" t="s" s="151">
        <v>75</v>
      </c>
      <c r="C3" s="176"/>
      <c r="D3" s="153">
        <v>456</v>
      </c>
      <c r="E3" s="98"/>
    </row>
    <row r="4" ht="15.6" customHeight="1">
      <c r="A4" t="s" s="151">
        <v>55</v>
      </c>
      <c r="B4" t="s" s="151">
        <v>56</v>
      </c>
      <c r="C4" s="152">
        <v>100</v>
      </c>
      <c r="D4" s="153">
        <v>209</v>
      </c>
      <c r="E4" s="98"/>
    </row>
    <row r="5" ht="15.6" customHeight="1">
      <c r="A5" s="150">
        <v>418567</v>
      </c>
      <c r="B5" t="s" s="151">
        <v>76</v>
      </c>
      <c r="C5" s="152">
        <v>2</v>
      </c>
      <c r="D5" s="153">
        <v>2415</v>
      </c>
      <c r="E5" s="98"/>
    </row>
    <row r="6" ht="15.6" customHeight="1">
      <c r="A6" s="150">
        <v>418583</v>
      </c>
      <c r="B6" t="s" s="151">
        <v>77</v>
      </c>
      <c r="C6" s="152">
        <v>2</v>
      </c>
      <c r="D6" s="153">
        <v>468</v>
      </c>
      <c r="E6" s="98"/>
    </row>
    <row r="7" ht="15.6" customHeight="1">
      <c r="A7" t="s" s="151">
        <v>78</v>
      </c>
      <c r="B7" t="s" s="151">
        <v>79</v>
      </c>
      <c r="C7" s="152">
        <v>2</v>
      </c>
      <c r="D7" s="153">
        <v>218</v>
      </c>
      <c r="E7" s="98"/>
    </row>
    <row r="8" ht="15.6" customHeight="1">
      <c r="A8" t="s" s="151">
        <v>80</v>
      </c>
      <c r="B8" t="s" s="151">
        <v>81</v>
      </c>
      <c r="C8" s="152">
        <v>102</v>
      </c>
      <c r="D8" s="153">
        <v>63</v>
      </c>
      <c r="E8" s="98"/>
    </row>
    <row r="9" ht="15.6" customHeight="1">
      <c r="A9" t="s" s="151">
        <v>82</v>
      </c>
      <c r="B9" t="s" s="151">
        <v>83</v>
      </c>
      <c r="C9" s="152">
        <v>10</v>
      </c>
      <c r="D9" s="153">
        <v>105</v>
      </c>
      <c r="E9" s="98"/>
    </row>
    <row r="10" ht="15.6" customHeight="1">
      <c r="A10" t="s" s="177">
        <v>84</v>
      </c>
      <c r="B10" t="s" s="151">
        <v>85</v>
      </c>
      <c r="C10" s="152">
        <v>1</v>
      </c>
      <c r="D10" s="153">
        <v>2857</v>
      </c>
      <c r="E10" s="98"/>
    </row>
    <row r="11" ht="15.6" customHeight="1">
      <c r="A11" t="s" s="177">
        <v>86</v>
      </c>
      <c r="B11" t="s" s="151">
        <v>87</v>
      </c>
      <c r="C11" s="152">
        <v>1</v>
      </c>
      <c r="D11" s="153">
        <v>2331</v>
      </c>
      <c r="E11" s="98"/>
    </row>
    <row r="12" ht="15.6" customHeight="1">
      <c r="A12" t="s" s="177">
        <v>88</v>
      </c>
      <c r="B12" t="s" s="151">
        <v>89</v>
      </c>
      <c r="C12" s="152">
        <v>1</v>
      </c>
      <c r="D12" s="153">
        <v>5356</v>
      </c>
      <c r="E12" s="98"/>
    </row>
    <row r="13" ht="15.6" customHeight="1">
      <c r="A13" t="s" s="177">
        <v>88</v>
      </c>
      <c r="B13" t="s" s="151">
        <v>90</v>
      </c>
      <c r="C13" s="152">
        <v>0</v>
      </c>
      <c r="D13" s="153">
        <v>3807</v>
      </c>
      <c r="E13" s="98"/>
    </row>
    <row r="14" ht="15.6" customHeight="1">
      <c r="A14" t="s" s="177">
        <v>88</v>
      </c>
      <c r="B14" t="s" s="151">
        <v>91</v>
      </c>
      <c r="C14" s="152">
        <v>1</v>
      </c>
      <c r="D14" s="153">
        <v>714</v>
      </c>
      <c r="E14" s="98"/>
    </row>
    <row r="15" ht="15.6" customHeight="1">
      <c r="A15" t="s" s="177">
        <v>88</v>
      </c>
      <c r="B15" t="s" s="151">
        <v>92</v>
      </c>
      <c r="C15" s="152">
        <v>1</v>
      </c>
      <c r="D15" s="153">
        <v>714</v>
      </c>
      <c r="E15" s="98"/>
    </row>
    <row r="16" ht="15.6" customHeight="1">
      <c r="A16" t="s" s="177">
        <v>88</v>
      </c>
      <c r="B16" t="s" s="151">
        <v>93</v>
      </c>
      <c r="C16" s="152">
        <v>36</v>
      </c>
      <c r="D16" s="153">
        <v>375</v>
      </c>
      <c r="E16" s="9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